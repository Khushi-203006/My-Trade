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Khushi\my trade\data\raw\"/>
    </mc:Choice>
  </mc:AlternateContent>
  <xr:revisionPtr revIDLastSave="0" documentId="13_ncr:1_{32BF70E0-B184-4CA4-AA0F-44ADB0C6A2FD}" xr6:coauthVersionLast="47" xr6:coauthVersionMax="47" xr10:uidLastSave="{00000000-0000-0000-0000-000000000000}"/>
  <bookViews>
    <workbookView xWindow="-110" yWindow="-110" windowWidth="19420" windowHeight="10300" firstSheet="4" activeTab="5" xr2:uid="{A1FA5CC5-E2C2-4F51-9BAE-3F5476477926}"/>
  </bookViews>
  <sheets>
    <sheet name="Detail1" sheetId="15" r:id="rId1"/>
    <sheet name="Detail2" sheetId="16" r:id="rId2"/>
    <sheet name="Detail3" sheetId="17" r:id="rId3"/>
    <sheet name="Sheet2" sheetId="14" r:id="rId4"/>
    <sheet name="Chart1" sheetId="18" r:id="rId5"/>
    <sheet name="Main sheet" sheetId="1" r:id="rId6"/>
    <sheet name="Buy Sell" sheetId="2" r:id="rId7"/>
  </sheets>
  <definedNames>
    <definedName name="_xlnm._FilterDatabase" localSheetId="5" hidden="1">'Main sheet'!$A$1:$H$514</definedName>
  </definedName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45" i="1" l="1"/>
  <c r="I329" i="1"/>
  <c r="I279" i="1"/>
  <c r="I268" i="1"/>
  <c r="I248" i="1"/>
  <c r="I243" i="1"/>
  <c r="I236" i="1"/>
  <c r="I215" i="1"/>
  <c r="I207" i="1"/>
  <c r="I196" i="1"/>
  <c r="I185" i="1"/>
  <c r="I180" i="1"/>
  <c r="I171" i="1"/>
  <c r="I170" i="1"/>
  <c r="I159" i="1"/>
  <c r="I158" i="1"/>
  <c r="I136" i="1"/>
  <c r="I127" i="1"/>
</calcChain>
</file>

<file path=xl/sharedStrings.xml><?xml version="1.0" encoding="utf-8"?>
<sst xmlns="http://schemas.openxmlformats.org/spreadsheetml/2006/main" count="853" uniqueCount="334">
  <si>
    <t>S No.</t>
  </si>
  <si>
    <t>Day when told</t>
  </si>
  <si>
    <t>Current price</t>
  </si>
  <si>
    <t>Target price</t>
  </si>
  <si>
    <t>Stop loss</t>
  </si>
  <si>
    <t>Result date</t>
  </si>
  <si>
    <t>Result price</t>
  </si>
  <si>
    <t>Profit / loss</t>
  </si>
  <si>
    <t>ICICI AMC</t>
  </si>
  <si>
    <t>COFORGE</t>
  </si>
  <si>
    <t>TECHM</t>
  </si>
  <si>
    <t>AMC</t>
  </si>
  <si>
    <t>AZAD</t>
  </si>
  <si>
    <t>GAIL</t>
  </si>
  <si>
    <t>MCX</t>
  </si>
  <si>
    <t>GLAND PHARMA</t>
  </si>
  <si>
    <t>RBL BANK</t>
  </si>
  <si>
    <t>IOC</t>
  </si>
  <si>
    <t>SRF</t>
  </si>
  <si>
    <t>KTKBANK</t>
  </si>
  <si>
    <t>BHARATFORG</t>
  </si>
  <si>
    <t>TBO TEK</t>
  </si>
  <si>
    <t xml:space="preserve">ABCAPITAL </t>
  </si>
  <si>
    <t>PRESTIGE</t>
  </si>
  <si>
    <t>PINELAB</t>
  </si>
  <si>
    <t>SUZLON</t>
  </si>
  <si>
    <t>SBIN</t>
  </si>
  <si>
    <t>BHEL</t>
  </si>
  <si>
    <t>OLECTRA</t>
  </si>
  <si>
    <t>ADANIENT</t>
  </si>
  <si>
    <t>WABAG</t>
  </si>
  <si>
    <t>TATACOMM</t>
  </si>
  <si>
    <t>ETERNAL</t>
  </si>
  <si>
    <t>LAURUSLABS</t>
  </si>
  <si>
    <t>Today's closing price</t>
  </si>
  <si>
    <t xml:space="preserve">CIPLA </t>
  </si>
  <si>
    <t>MEDANTA</t>
  </si>
  <si>
    <t>SYRMA</t>
  </si>
  <si>
    <t>Quantity</t>
  </si>
  <si>
    <t>Excepted Return</t>
  </si>
  <si>
    <t>ONGC</t>
  </si>
  <si>
    <t>AADHAR HOUSING FINANCE</t>
  </si>
  <si>
    <t>NYKAA</t>
  </si>
  <si>
    <t>LLOYD</t>
  </si>
  <si>
    <t>Scrip name</t>
  </si>
  <si>
    <t>Action</t>
  </si>
  <si>
    <t>Sell</t>
  </si>
  <si>
    <t>Buy</t>
  </si>
  <si>
    <t>Order Price</t>
  </si>
  <si>
    <t>Date</t>
  </si>
  <si>
    <t>Row Labels</t>
  </si>
  <si>
    <t>Grand Total</t>
  </si>
  <si>
    <t>AEGIS LOGISTICS</t>
  </si>
  <si>
    <t>RUBICON RESEARCH</t>
  </si>
  <si>
    <t>CUMMINS INDIA</t>
  </si>
  <si>
    <t>DELHIVERY</t>
  </si>
  <si>
    <t>WAAREE ENERGIES</t>
  </si>
  <si>
    <t>JINDAL STEEL</t>
  </si>
  <si>
    <t>FORTIS HEALTHCARE</t>
  </si>
  <si>
    <t>ICICI PRUDENTIAL AMC</t>
  </si>
  <si>
    <t>NATIONALUM</t>
  </si>
  <si>
    <t>GROWW</t>
  </si>
  <si>
    <t>ADANI PORTS</t>
  </si>
  <si>
    <t>TITAGARH RAIL SYSTEM</t>
  </si>
  <si>
    <t>VARUN BEVERAGES</t>
  </si>
  <si>
    <t>PREMIER ENERGIES</t>
  </si>
  <si>
    <t>EXIDE</t>
  </si>
  <si>
    <t>FEDERAL BANK</t>
  </si>
  <si>
    <t xml:space="preserve">JSW INFRASTRUCTURE </t>
  </si>
  <si>
    <t>NESTLE</t>
  </si>
  <si>
    <t xml:space="preserve">PIDILITE </t>
  </si>
  <si>
    <t>HINDALCO INDUSTRIES</t>
  </si>
  <si>
    <t>PRIVI SPECIALITY CHEMICALS</t>
  </si>
  <si>
    <t>NUVAMA  WEALTH</t>
  </si>
  <si>
    <t>BANK OF MAHARASHTRA</t>
  </si>
  <si>
    <t>INDIGO</t>
  </si>
  <si>
    <t>PHOENIXLTD</t>
  </si>
  <si>
    <t>EICHERMOT</t>
  </si>
  <si>
    <t>IXIGO</t>
  </si>
  <si>
    <t>YATRA</t>
  </si>
  <si>
    <t>BANDHAN BANK</t>
  </si>
  <si>
    <t>ZYDUS LIFESCIENCE</t>
  </si>
  <si>
    <t>BHARAT ELECTRONICS</t>
  </si>
  <si>
    <t>CG POWER</t>
  </si>
  <si>
    <t>RADICO KHAITAN</t>
  </si>
  <si>
    <t>ANGEL ONE</t>
  </si>
  <si>
    <t>AMBER ENTERPRISES</t>
  </si>
  <si>
    <t>KIRLOSKAR OIL ENGINES</t>
  </si>
  <si>
    <t>VEDANTA ALUM</t>
  </si>
  <si>
    <t>DIXON TECHNOLOGIES</t>
  </si>
  <si>
    <t>GOKALDAS EXPORTS</t>
  </si>
  <si>
    <t>GUJARAT FLUOROCHEM</t>
  </si>
  <si>
    <t>GENUS POWER</t>
  </si>
  <si>
    <t>SHRIRAM FINANCE</t>
  </si>
  <si>
    <t>HIND PETRO</t>
  </si>
  <si>
    <t>AXIS BANK</t>
  </si>
  <si>
    <t>MARUTI</t>
  </si>
  <si>
    <t>ABCENTRAL</t>
  </si>
  <si>
    <t>JSW STEEL</t>
  </si>
  <si>
    <t xml:space="preserve">STAR HEALTH </t>
  </si>
  <si>
    <t>MARICO</t>
  </si>
  <si>
    <t xml:space="preserve">GRANULES </t>
  </si>
  <si>
    <t>TORRENT PHARMACEUTICALS</t>
  </si>
  <si>
    <t>ADITYA BIRLA REAL ESTATE</t>
  </si>
  <si>
    <t>CREDIT ACCESS GRAMEEN</t>
  </si>
  <si>
    <t>BAJAJ FINANCE</t>
  </si>
  <si>
    <t>NAUKRI</t>
  </si>
  <si>
    <t>AETHER</t>
  </si>
  <si>
    <t>TITAN</t>
  </si>
  <si>
    <t>STOCK NAME</t>
  </si>
  <si>
    <t>BHARAT FORGEE</t>
  </si>
  <si>
    <t xml:space="preserve">RR KABHARAT ELECTRONICS </t>
  </si>
  <si>
    <t xml:space="preserve">CG POWER </t>
  </si>
  <si>
    <t>GRASIM INDUSTRIESUSTRIESUSTRIES</t>
  </si>
  <si>
    <t>GRASIM INDUSTRIESUSTRIESUSTRIES IND</t>
  </si>
  <si>
    <t xml:space="preserve">MAX HEALTHCARE </t>
  </si>
  <si>
    <t>WELSPUN CORP</t>
  </si>
  <si>
    <t>PNB HOUSING FIN</t>
  </si>
  <si>
    <t>ASTRA MICROWAVE</t>
  </si>
  <si>
    <t>UNO MINDA</t>
  </si>
  <si>
    <t>EXIDE IND</t>
  </si>
  <si>
    <t>ATHER ENERGY LTD</t>
  </si>
  <si>
    <t>Idea Type</t>
  </si>
  <si>
    <t>Conviction Delivery Idea</t>
  </si>
  <si>
    <t>Velocity Idea</t>
  </si>
  <si>
    <t xml:space="preserve">Fundamental </t>
  </si>
  <si>
    <t>Technical Radar</t>
  </si>
  <si>
    <t>KAYNES</t>
  </si>
  <si>
    <t>ALKYLAMINE</t>
  </si>
  <si>
    <t>CDSL</t>
  </si>
  <si>
    <t>DLF</t>
  </si>
  <si>
    <t>RBL</t>
  </si>
  <si>
    <t>Consolidation Breakout</t>
  </si>
  <si>
    <t>L&amp;T FINANCE</t>
  </si>
  <si>
    <t>INDIAN BANK</t>
  </si>
  <si>
    <t>TATA TECHNOLOGIES</t>
  </si>
  <si>
    <t>JSWINFRA</t>
  </si>
  <si>
    <t>Range breakout bullish candle</t>
  </si>
  <si>
    <t>KARARVYSYA</t>
  </si>
  <si>
    <t>ICICI PREDENTIAL AMC</t>
  </si>
  <si>
    <t>HCL TECHNOLOGIES</t>
  </si>
  <si>
    <t>WELSPUN LIVING</t>
  </si>
  <si>
    <t>SAATVIK GREEN ENERGY</t>
  </si>
  <si>
    <t>Initiating coverage</t>
  </si>
  <si>
    <t>ADANI GREEN</t>
  </si>
  <si>
    <t>Watchlist</t>
  </si>
  <si>
    <t>LLOYDS METALS</t>
  </si>
  <si>
    <t>IPCA LABORATORIES</t>
  </si>
  <si>
    <t>Technical conviction</t>
  </si>
  <si>
    <t>ABB</t>
  </si>
  <si>
    <t>FLUOROCHEM</t>
  </si>
  <si>
    <t>UNIMECH AEROSPACE</t>
  </si>
  <si>
    <t>TARIL</t>
  </si>
  <si>
    <t>TECH MAHINDRA</t>
  </si>
  <si>
    <t>PIRAMAL FINANCE</t>
  </si>
  <si>
    <t>INFOEDGE</t>
  </si>
  <si>
    <t>SONACOMS</t>
  </si>
  <si>
    <t>HSCL</t>
  </si>
  <si>
    <t>TIMETECHNO</t>
  </si>
  <si>
    <t>ICICI BANK</t>
  </si>
  <si>
    <t>JSW</t>
  </si>
  <si>
    <t>ABREL</t>
  </si>
  <si>
    <t>SANSERA</t>
  </si>
  <si>
    <t>PAYTM</t>
  </si>
  <si>
    <t>EMCURE PHARMA</t>
  </si>
  <si>
    <t>LLOYD METALS</t>
  </si>
  <si>
    <t>UNION BANK OF INDIA</t>
  </si>
  <si>
    <t>NAVIN FLUORINE</t>
  </si>
  <si>
    <t>CYIENT DLM</t>
  </si>
  <si>
    <t>BAJAJ AUTO</t>
  </si>
  <si>
    <t>HAL</t>
  </si>
  <si>
    <t>GODREJ PROPERTIES</t>
  </si>
  <si>
    <t>NBCC</t>
  </si>
  <si>
    <t>ROKERAFE RADAR</t>
  </si>
  <si>
    <t>NESTLE INDIA</t>
  </si>
  <si>
    <t>SONA BLW PRECISION</t>
  </si>
  <si>
    <t>Fundamental actionable idea</t>
  </si>
  <si>
    <t>NIPPON LIFE INDIA</t>
  </si>
  <si>
    <t>MEESHO</t>
  </si>
  <si>
    <t>VMM</t>
  </si>
  <si>
    <t>M&amp;M</t>
  </si>
  <si>
    <t>DALBHARAT</t>
  </si>
  <si>
    <t>AZAD ENGINEERING</t>
  </si>
  <si>
    <t>IDFC FIRST BANK</t>
  </si>
  <si>
    <t>LENSKART</t>
  </si>
  <si>
    <t>LODHA DEVELOPERS</t>
  </si>
  <si>
    <t>NEWGEN</t>
  </si>
  <si>
    <t>Count of STOCK NAME</t>
  </si>
  <si>
    <t>TVS MOTORS</t>
  </si>
  <si>
    <t>DIVI'S LAB</t>
  </si>
  <si>
    <t>LARSEN &amp; TOUBRO</t>
  </si>
  <si>
    <t>Fundamental Idea</t>
  </si>
  <si>
    <t>CHOLAMANDALAM INVESTESTMENT &amp; FINANCE</t>
  </si>
  <si>
    <t>MTAR TECHNOLOGIES</t>
  </si>
  <si>
    <t>Positive View</t>
  </si>
  <si>
    <t>DR LAL PATHLABS</t>
  </si>
  <si>
    <t>Technical breakout</t>
  </si>
  <si>
    <t>4-week track</t>
  </si>
  <si>
    <t>1-week track</t>
  </si>
  <si>
    <t>Details for Count of STOCK NAME - STOCK NAME: RADICO KHAITAN</t>
  </si>
  <si>
    <t>(blank)</t>
  </si>
  <si>
    <t xml:space="preserve">Details for Count of STOCK NAME - STOCK NAME: MAX HEALTHCARE </t>
  </si>
  <si>
    <t>AMARA RAJA</t>
  </si>
  <si>
    <t>PARAS DEFENCE</t>
  </si>
  <si>
    <t>VARROC</t>
  </si>
  <si>
    <t>ITC</t>
  </si>
  <si>
    <t>AEGISVOPAK</t>
  </si>
  <si>
    <t>RATNAVEER</t>
  </si>
  <si>
    <t>PERSISTENT</t>
  </si>
  <si>
    <t>JINDAL STAINLESS</t>
  </si>
  <si>
    <t>KEI IND</t>
  </si>
  <si>
    <t>BPCL</t>
  </si>
  <si>
    <t>SIEMENS</t>
  </si>
  <si>
    <t>APOLLO HOSPITALS</t>
  </si>
  <si>
    <t>BSE</t>
  </si>
  <si>
    <t>HEG</t>
  </si>
  <si>
    <t>JTL</t>
  </si>
  <si>
    <t>PEARL GLOBAL INDUSTRIES</t>
  </si>
  <si>
    <t xml:space="preserve">ULTRATECH CEMENT </t>
  </si>
  <si>
    <t xml:space="preserve"> </t>
  </si>
  <si>
    <t>360 ONE WAM LTD</t>
  </si>
  <si>
    <t>JSW STEEL LTD</t>
  </si>
  <si>
    <t>MOTHERSON</t>
  </si>
  <si>
    <t>AU SMALL FINANCE BANK</t>
  </si>
  <si>
    <t>JG CHEM</t>
  </si>
  <si>
    <t>ANAND RATHI WEALTH</t>
  </si>
  <si>
    <t>AEQUS</t>
  </si>
  <si>
    <t>STATE BANK OF INDIA</t>
  </si>
  <si>
    <t>WALCHANNAG</t>
  </si>
  <si>
    <t>PIDILITE IND</t>
  </si>
  <si>
    <t>technical delivery idea</t>
  </si>
  <si>
    <t>JSW ENERGY</t>
  </si>
  <si>
    <t>BRIGADE ENTERPRICE</t>
  </si>
  <si>
    <t>FUSION FINANCE</t>
  </si>
  <si>
    <t>SHAILY ENGINEERING PLASTICS</t>
  </si>
  <si>
    <t>DIVIS LABS</t>
  </si>
  <si>
    <t>SOLAR INDUSTRIES</t>
  </si>
  <si>
    <t>MANAPPURAM FINANACE</t>
  </si>
  <si>
    <t>AMAR RAJA</t>
  </si>
  <si>
    <t>KPIL</t>
  </si>
  <si>
    <t>AARTI INDUSTRIES</t>
  </si>
  <si>
    <t>Breakout</t>
  </si>
  <si>
    <t>POONAWALLA FINCORP</t>
  </si>
  <si>
    <t>LG ELECTRONICS</t>
  </si>
  <si>
    <t>MAX FINANCIALS</t>
  </si>
  <si>
    <t>SAPPHIRE</t>
  </si>
  <si>
    <t>IPCA</t>
  </si>
  <si>
    <t>DIXON</t>
  </si>
  <si>
    <t>BDL</t>
  </si>
  <si>
    <t>IFCI</t>
  </si>
  <si>
    <t>Overnight</t>
  </si>
  <si>
    <t>AVALON TECH</t>
  </si>
  <si>
    <t>OBEROI REALTY</t>
  </si>
  <si>
    <t>HINDUSTAN COPPER</t>
  </si>
  <si>
    <t>Uptrend</t>
  </si>
  <si>
    <t>SYRMA SGS TECHNOLOGY</t>
  </si>
  <si>
    <t>IDEA</t>
  </si>
  <si>
    <t>ZEN TECHNOLOGIES</t>
  </si>
  <si>
    <t>INVENTURUS KNOWLEDGE SOLUTION</t>
  </si>
  <si>
    <t>Immediate support</t>
  </si>
  <si>
    <t>NAM INDIA</t>
  </si>
  <si>
    <t>NAM-INDIA</t>
  </si>
  <si>
    <t>CROMPTON GREAVES</t>
  </si>
  <si>
    <t>ACME SOLAR</t>
  </si>
  <si>
    <t>CRAFTMAN AUTOMATION</t>
  </si>
  <si>
    <t>URBAN COMPANY</t>
  </si>
  <si>
    <t>AU BANK</t>
  </si>
  <si>
    <t>COCHIN SHIPYARD</t>
  </si>
  <si>
    <t>VARUN BREVRAGES</t>
  </si>
  <si>
    <t>ADANI ENTERPRISES</t>
  </si>
  <si>
    <t>VA TECH WABAG</t>
  </si>
  <si>
    <t>SAIL</t>
  </si>
  <si>
    <t>ASHOK LEYLAND</t>
  </si>
  <si>
    <t>LAURUS LABS</t>
  </si>
  <si>
    <t>OMAXE</t>
  </si>
  <si>
    <t>PC JEWELLERS</t>
  </si>
  <si>
    <t>KALYAN JEWELLERS</t>
  </si>
  <si>
    <t>CYIENT</t>
  </si>
  <si>
    <t>TCS</t>
  </si>
  <si>
    <t>TEJAS NETWORK</t>
  </si>
  <si>
    <t>EICHER MOTORS</t>
  </si>
  <si>
    <t>GLENMARK PHARMA</t>
  </si>
  <si>
    <t>AUROBINDO PHARMA</t>
  </si>
  <si>
    <t>ENGINEERS INDIA LTD</t>
  </si>
  <si>
    <t>SBI FUNDS MANAGEMENT</t>
  </si>
  <si>
    <t>SUN PHARMA</t>
  </si>
  <si>
    <t>COAL INDIA</t>
  </si>
  <si>
    <t>OIL INDIA</t>
  </si>
  <si>
    <t>AEGIS VOPAK</t>
  </si>
  <si>
    <t>Good bounce</t>
  </si>
  <si>
    <t>SAI LIFE</t>
  </si>
  <si>
    <t>PRESTIGE ESTATE</t>
  </si>
  <si>
    <t>HINDUSTAN AERONAUTICS (HAL)</t>
  </si>
  <si>
    <t>PHYSICSWALLAH</t>
  </si>
  <si>
    <t>INOXINDIA</t>
  </si>
  <si>
    <t>Date when reach target</t>
  </si>
  <si>
    <t>Count of days</t>
  </si>
  <si>
    <t>VODAFONE  IDEA</t>
  </si>
  <si>
    <t>SUPREME PETROCHEM</t>
  </si>
  <si>
    <t>BEL</t>
  </si>
  <si>
    <t>GE VERNOVA</t>
  </si>
  <si>
    <t>ARVIND FASHION</t>
  </si>
  <si>
    <t>RAYMOND</t>
  </si>
  <si>
    <t>PAISALO DIGITAL</t>
  </si>
  <si>
    <t>SSWL</t>
  </si>
  <si>
    <t>TD POWER SYSTEMS</t>
  </si>
  <si>
    <t>TENNECO CLEAN AIR</t>
  </si>
  <si>
    <t>HDFC</t>
  </si>
  <si>
    <t>ROSSELL TECHSYS</t>
  </si>
  <si>
    <t>MILKYMIST</t>
  </si>
  <si>
    <t>PB FINTECH</t>
  </si>
  <si>
    <t>TURTLEMINT FINTECH SOL</t>
  </si>
  <si>
    <t xml:space="preserve">KALPATARU PROJECTS </t>
  </si>
  <si>
    <t>YATHARTH</t>
  </si>
  <si>
    <t>HDFC LIFE</t>
  </si>
  <si>
    <t>INDOMIM</t>
  </si>
  <si>
    <t>NAZARA</t>
  </si>
  <si>
    <t>ASKAUTOLTD</t>
  </si>
  <si>
    <t>4 week focus idea</t>
  </si>
  <si>
    <t>JSW CEMENT</t>
  </si>
  <si>
    <t>LEELA PALACES HOTELS &amp; RESORTS</t>
  </si>
  <si>
    <t>SHILPAMED</t>
  </si>
  <si>
    <t>DR LAL PATHSLAB</t>
  </si>
  <si>
    <t>MOLBIO DIAGNOSTICS</t>
  </si>
  <si>
    <t>TRENT</t>
  </si>
  <si>
    <t>ENDURANCE TECHNOLOGIES</t>
  </si>
  <si>
    <t>NATIONAL ALUMINIUM</t>
  </si>
  <si>
    <t>SENCO GOLD</t>
  </si>
  <si>
    <t>GRAVITA INDIA</t>
  </si>
  <si>
    <t>PN GADGIL JWELLERS</t>
  </si>
  <si>
    <t>KNOWLEGDGE MARINE &amp; ENGINEERING WORKS</t>
  </si>
  <si>
    <t>PRASOLCHEM</t>
  </si>
  <si>
    <t>KOTAK MAHINDRA BANK</t>
  </si>
  <si>
    <t>PERSISTENT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</si>
</sst>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3" borderId="0" xfId="0" applyFill="1"/>
    <xf numFmtId="0" fontId="0" fillId="4" borderId="0" xfId="0" applyFill="1"/>
    <xf numFmtId="3" fontId="0" fillId="0" borderId="0" xfId="0" applyNumberFormat="1"/>
    <xf numFmtId="14" fontId="0" fillId="2" borderId="0" xfId="0" applyNumberFormat="1" applyFill="1"/>
    <xf numFmtId="0" fontId="0" fillId="5" borderId="0" xfId="0" applyFill="1"/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6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'Main sheet'!$A$1</c:f>
              <c:strCache>
                <c:ptCount val="1"/>
                <c:pt idx="0">
                  <c:v>S No.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'Main sheet'!$A$2:$A$514</c:f>
              <c:numCache>
                <c:formatCode>General</c:formatCode>
                <c:ptCount val="3"/>
                <c:pt idx="0">
                  <c:v>52</c:v>
                </c:pt>
                <c:pt idx="1">
                  <c:v>89</c:v>
                </c:pt>
                <c:pt idx="2">
                  <c:v>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D-431D-BE2F-5C4F9BEA573E}"/>
            </c:ext>
          </c:extLst>
        </c:ser>
        <c:ser>
          <c:idx val="1"/>
          <c:order val="1"/>
          <c:tx>
            <c:strRef>
              <c:f>'Main sheet'!$B$1</c:f>
              <c:strCache>
                <c:ptCount val="1"/>
                <c:pt idx="0">
                  <c:v>STOCK NAME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'Main sheet'!$B$2:$B$514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0D-431D-BE2F-5C4F9BEA573E}"/>
            </c:ext>
          </c:extLst>
        </c:ser>
        <c:ser>
          <c:idx val="2"/>
          <c:order val="2"/>
          <c:tx>
            <c:strRef>
              <c:f>'Main sheet'!$C$1</c:f>
              <c:strCache>
                <c:ptCount val="1"/>
                <c:pt idx="0">
                  <c:v>Idea Type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'Main sheet'!$C$2:$C$514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2-A20D-431D-BE2F-5C4F9BEA573E}"/>
            </c:ext>
          </c:extLst>
        </c:ser>
        <c:ser>
          <c:idx val="3"/>
          <c:order val="3"/>
          <c:tx>
            <c:strRef>
              <c:f>'Main sheet'!$D$1</c:f>
              <c:strCache>
                <c:ptCount val="1"/>
                <c:pt idx="0">
                  <c:v>Day when told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'Main sheet'!$D$2:$D$514</c:f>
              <c:numCache>
                <c:formatCode>m/d/yyyy</c:formatCode>
                <c:ptCount val="3"/>
                <c:pt idx="0">
                  <c:v>46190</c:v>
                </c:pt>
                <c:pt idx="1">
                  <c:v>46197</c:v>
                </c:pt>
                <c:pt idx="2">
                  <c:v>46302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0D-431D-BE2F-5C4F9BEA573E}"/>
            </c:ext>
          </c:extLst>
        </c:ser>
        <c:ser>
          <c:idx val="4"/>
          <c:order val="4"/>
          <c:tx>
            <c:strRef>
              <c:f>'Main sheet'!$E$1</c:f>
              <c:strCache>
                <c:ptCount val="1"/>
                <c:pt idx="0">
                  <c:v>Current price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'Main sheet'!$E$2:$E$514</c:f>
              <c:numCache>
                <c:formatCode>General</c:formatCode>
                <c:ptCount val="3"/>
                <c:pt idx="0">
                  <c:v>1079</c:v>
                </c:pt>
                <c:pt idx="1">
                  <c:v>1112</c:v>
                </c:pt>
                <c:pt idx="2">
                  <c:v>1160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0D-431D-BE2F-5C4F9BEA573E}"/>
            </c:ext>
          </c:extLst>
        </c:ser>
        <c:ser>
          <c:idx val="5"/>
          <c:order val="5"/>
          <c:tx>
            <c:strRef>
              <c:f>'Main sheet'!$F$1</c:f>
              <c:strCache>
                <c:ptCount val="1"/>
                <c:pt idx="0">
                  <c:v>Target price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'Main sheet'!$F$2:$F$514</c:f>
              <c:numCache>
                <c:formatCode>General</c:formatCode>
                <c:ptCount val="3"/>
                <c:pt idx="1">
                  <c:v>1185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0D-431D-BE2F-5C4F9BEA573E}"/>
            </c:ext>
          </c:extLst>
        </c:ser>
        <c:ser>
          <c:idx val="6"/>
          <c:order val="6"/>
          <c:tx>
            <c:strRef>
              <c:f>'Main sheet'!$G$1</c:f>
              <c:strCache>
                <c:ptCount val="1"/>
                <c:pt idx="0">
                  <c:v>Stop loss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'Main sheet'!$G$2:$G$514</c:f>
              <c:numCache>
                <c:formatCode>General</c:formatCode>
                <c:ptCount val="3"/>
                <c:pt idx="1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0D-431D-BE2F-5C4F9BEA573E}"/>
            </c:ext>
          </c:extLst>
        </c:ser>
        <c:ser>
          <c:idx val="7"/>
          <c:order val="7"/>
          <c:tx>
            <c:strRef>
              <c:f>'Main sheet'!$H$1</c:f>
              <c:strCache>
                <c:ptCount val="1"/>
                <c:pt idx="0">
                  <c:v>Date when reach target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'Main sheet'!$H$2:$H$514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7-A20D-431D-BE2F-5C4F9BEA573E}"/>
            </c:ext>
          </c:extLst>
        </c:ser>
        <c:ser>
          <c:idx val="8"/>
          <c:order val="8"/>
          <c:tx>
            <c:strRef>
              <c:f>'Main sheet'!$I$1</c:f>
              <c:strCache>
                <c:ptCount val="1"/>
                <c:pt idx="0">
                  <c:v>Count of days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'Main sheet'!$I$2:$I$514</c:f>
              <c:numCache>
                <c:formatCode>General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8-A20D-431D-BE2F-5C4F9BEA5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1041295"/>
        <c:axId val="1297458511"/>
      </c:barChart>
      <c:catAx>
        <c:axId val="1361041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7458511"/>
        <c:crosses val="autoZero"/>
        <c:auto val="1"/>
        <c:lblAlgn val="ctr"/>
        <c:lblOffset val="100"/>
        <c:noMultiLvlLbl val="0"/>
      </c:catAx>
      <c:valAx>
        <c:axId val="12974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4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466832B-AD97-4A85-8991-ABFE50D8CCD8}">
  <sheetPr/>
  <sheetViews>
    <sheetView zoomScale="1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22" cy="607483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46C17E-6365-F9FD-B31D-AC86878942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CO LOGIC" refreshedDate="46233.847392939817" createdVersion="8" refreshedVersion="8" minRefreshableVersion="3" recordCount="247" xr:uid="{E0A12C90-CD4A-4E92-B08E-84A13118CB17}">
  <cacheSource type="worksheet">
    <worksheetSource ref="A1:H1048576" sheet="Main sheet"/>
  </cacheSource>
  <cacheFields count="13">
    <cacheField name="S No." numFmtId="0">
      <sharedItems containsString="0" containsBlank="1" containsNumber="1" containsInteger="1" minValue="1" maxValue="229"/>
    </cacheField>
    <cacheField name="STOCK NAME" numFmtId="0">
      <sharedItems containsBlank="1" count="162">
        <s v="ICICI AMC"/>
        <s v="AEGIS LOGISTICS"/>
        <s v="RR KABHARAT ELECTRONICS "/>
        <s v="RUBICON RESEARCH"/>
        <s v="CUMMINS INDIA"/>
        <s v="COFORGE"/>
        <s v="DELHIVERY"/>
        <s v="WAAREE ENERGIES"/>
        <s v="JINDAL STEEL"/>
        <s v="FORTIS HEALTHCARE"/>
        <s v="ICICI PRUDENTIAL AMC"/>
        <s v="TECHM"/>
        <s v="NATIONALUM"/>
        <s v="GROWW"/>
        <s v="ADANI PORTS"/>
        <s v="TITAGARH RAIL SYSTEM"/>
        <s v="VARUN BEVERAGES"/>
        <s v="PREMIER ENERGIES"/>
        <s v="EXIDE"/>
        <s v="AMC"/>
        <s v="AZAD"/>
        <s v="FEDERAL BANK"/>
        <s v="GAIL"/>
        <s v="JSW INFRASTRUCTURE "/>
        <s v="NESTLE"/>
        <s v="PIDILITE "/>
        <s v="HINDALCO INDUSTRIES"/>
        <s v="PRIVI SPECIALITY CHEMICALS"/>
        <s v="GRASIM INDUSTRIESUSTRIESUSTRIES"/>
        <s v="MCX"/>
        <s v="GLAND PHARMA"/>
        <s v="NUVAMA  WEALTH"/>
        <s v="RBL BANK"/>
        <s v="BANK OF MAHARASHTRA"/>
        <s v="INDIGO"/>
        <s v="IOC"/>
        <s v="SRF"/>
        <s v="KTKBANK"/>
        <s v="BHARAT FORGEE"/>
        <s v="PHOENIXLTD"/>
        <s v="EICHERMOT"/>
        <s v="IXIGO"/>
        <s v="YATRA"/>
        <s v="TBO TEK"/>
        <s v="BANDHAN BANK"/>
        <s v="ZYDUS LIFESCIENCE"/>
        <s v="ABCAPITAL "/>
        <s v="PRESTIGE"/>
        <s v="PINELAB"/>
        <s v="BHARAT ELECTRONICS"/>
        <s v="SUZLON"/>
        <s v="SBIN"/>
        <s v="CG POWER"/>
        <s v="RADICO KHAITAN"/>
        <s v="ANGEL ONE"/>
        <s v="AMBER ENTERPRISES"/>
        <s v="BHEL"/>
        <s v="OLECTRA"/>
        <s v="ADANIENT"/>
        <s v="WABAG"/>
        <s v="KIRLOSKAR OIL ENGINES"/>
        <s v="TATACOMM"/>
        <s v="ETERNAL"/>
        <s v="LAURUSLABS"/>
        <s v="CIPLA "/>
        <s v="MEDANTA"/>
        <s v="SYRMA"/>
        <s v="VEDANTA ALUM"/>
        <s v="DIXON TECHNOLOGIES"/>
        <s v="GOKALDAS EXPORTS"/>
        <s v="GUJARAT FLUOROCHEM"/>
        <s v="GENUS POWER"/>
        <s v="SHRIRAM FINANCE"/>
        <s v="HIND PETRO"/>
        <s v="AXIS BANK"/>
        <s v="WELSPUN CORP"/>
        <s v="MARUTI"/>
        <s v="ABCENTRAL"/>
        <s v="JSW STEEL"/>
        <s v="STAR HEALTH "/>
        <s v="MAX HEALTHCARE "/>
        <s v="MARICO"/>
        <s v="GRANULES "/>
        <s v="TORRENT PHARMACEUTICALS"/>
        <s v="ADITYA BIRLA REAL ESTATE"/>
        <s v="CREDIT ACCESS GRAMEEN"/>
        <s v="CG POWER "/>
        <s v="BAJAJ FINANCE"/>
        <s v="NAUKRI"/>
        <s v="AETHER"/>
        <s v="ONGC"/>
        <s v="AADHAR HOUSING FINANCE"/>
        <s v="NYKAA"/>
        <s v="TITAN"/>
        <s v="LLOYD"/>
        <s v="GRASIM INDUSTRIESUSTRIESUSTRIES IND"/>
        <s v="PNB HOUSING FIN"/>
        <s v="ASTRA MICROWAVE"/>
        <s v="UNO MINDA"/>
        <s v="EXIDE IND"/>
        <s v="ATHER ENERGY LTD"/>
        <s v="ALKYLAMINE"/>
        <s v="KAYNES"/>
        <s v="CDSL"/>
        <s v="DLF"/>
        <s v="RBL"/>
        <s v="L&amp;T FINANCE"/>
        <s v="INDIAN BANK"/>
        <s v="TATA TECHNOLOGIES"/>
        <s v="JSWINFRA"/>
        <s v="KARARVYSYA"/>
        <s v="ICICI PREDENTIAL AMC"/>
        <s v="HCL TECHNOLOGIES"/>
        <s v="WELSPUN LIVING"/>
        <s v="SAATVIK GREEN ENERGY"/>
        <s v="ADANI GREEN"/>
        <s v="LLOYDS METALS"/>
        <s v="IPCA LABORATORIES"/>
        <s v="ABB"/>
        <s v="FLUOROCHEM"/>
        <s v="UNIMECH AEROSPACE"/>
        <s v="TARIL"/>
        <s v="TECH MAHINDRA"/>
        <s v="PIRAMAL FINANCE"/>
        <s v="INFOEDGE"/>
        <s v="SONACOMS"/>
        <s v="HSCL"/>
        <s v="TIMETECHNO"/>
        <s v="ICICI BANK"/>
        <s v="JSW"/>
        <s v="ABREL"/>
        <s v="SANSERA"/>
        <s v="PAYTM"/>
        <s v="EMCURE PHARMA"/>
        <s v="LLOYD METALS"/>
        <s v="UNION BANK OF INDIA"/>
        <s v="NAVIN FLUORINE"/>
        <s v="CYIENT DLM"/>
        <s v="BAJAJ AUTO"/>
        <s v="HAL"/>
        <s v="GODREJ PROPERTIES"/>
        <s v="NBCC"/>
        <s v="ROKERAFE RADAR"/>
        <s v="NESTLE INDIA"/>
        <s v="SONA BLW PRECISION"/>
        <s v="NIPPON LIFE INDIA"/>
        <s v="MEESHO"/>
        <s v="VMM"/>
        <s v="M&amp;M"/>
        <s v="DALBHARAT"/>
        <s v="AZAD ENGINEERING"/>
        <s v="IDFC FIRST BANK"/>
        <s v="LENSKART"/>
        <s v="LODHA DEVELOPERS"/>
        <s v="NEWGEN"/>
        <s v="TVS MOTORS"/>
        <s v="DIVI'S LAB"/>
        <s v="LARSEN &amp; TOUBRO"/>
        <s v="CHOLAMANDALAM INVESTESTMENT &amp; FINANCE"/>
        <s v="MTAR TECHNOLOGIES"/>
        <s v="DR LAL PATHLABS"/>
        <m/>
      </sharedItems>
    </cacheField>
    <cacheField name="Idea Type" numFmtId="0">
      <sharedItems containsBlank="1"/>
    </cacheField>
    <cacheField name="Day when told" numFmtId="0">
      <sharedItems containsNonDate="0" containsDate="1" containsString="0" containsBlank="1" minDate="2026-06-01T00:00:00" maxDate="2026-07-31T00:00:00"/>
    </cacheField>
    <cacheField name="Current price" numFmtId="0">
      <sharedItems containsString="0" containsBlank="1" containsNumber="1" minValue="59" maxValue="13735"/>
    </cacheField>
    <cacheField name="Target price" numFmtId="0">
      <sharedItems containsString="0" containsBlank="1" containsNumber="1" minValue="92.4" maxValue="16100"/>
    </cacheField>
    <cacheField name="Stop loss" numFmtId="0">
      <sharedItems containsString="0" containsBlank="1" containsNumber="1" minValue="76" maxValue="11400"/>
    </cacheField>
    <cacheField name="Today's closing price" numFmtId="0">
      <sharedItems containsString="0" containsBlank="1" containsNumber="1" containsInteger="1" minValue="1033" maxValue="1153"/>
    </cacheField>
    <cacheField name="Excepted Return" numFmtId="0">
      <sharedItems containsString="0" containsBlank="1" containsNumber="1" minValue="-1" maxValue="0.34328358208955223"/>
    </cacheField>
    <cacheField name="Result date" numFmtId="0">
      <sharedItems containsNonDate="0" containsDate="1" containsString="0" containsBlank="1" minDate="2026-06-02T00:00:00" maxDate="2026-07-01T00:00:00"/>
    </cacheField>
    <cacheField name="Result price" numFmtId="0">
      <sharedItems containsString="0" containsBlank="1" containsNumber="1" minValue="156.6" maxValue="2450"/>
    </cacheField>
    <cacheField name="Profit / loss" numFmtId="0">
      <sharedItems containsNonDate="0" containsString="0" containsBlank="1"/>
    </cacheField>
    <cacheField name="Quantity" numFmtId="0">
      <sharedItems containsString="0" containsBlank="1" containsNumber="1" containsInteger="1" minValue="12" maxValue="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7">
  <r>
    <n v="1"/>
    <x v="0"/>
    <m/>
    <d v="2026-06-01T00:00:00"/>
    <n v="3538"/>
    <n v="3690"/>
    <n v="3450"/>
    <m/>
    <n v="4.2962125494629737E-2"/>
    <m/>
    <m/>
    <m/>
    <m/>
  </r>
  <r>
    <n v="2"/>
    <x v="1"/>
    <m/>
    <d v="2026-06-01T00:00:00"/>
    <n v="748"/>
    <m/>
    <m/>
    <m/>
    <n v="-1"/>
    <m/>
    <m/>
    <m/>
    <m/>
  </r>
  <r>
    <n v="3"/>
    <x v="2"/>
    <m/>
    <d v="2026-06-01T00:00:00"/>
    <n v="2056"/>
    <m/>
    <m/>
    <m/>
    <n v="-1"/>
    <d v="2026-06-18T00:00:00"/>
    <n v="2365"/>
    <m/>
    <m/>
  </r>
  <r>
    <n v="4"/>
    <x v="3"/>
    <m/>
    <d v="2026-06-01T00:00:00"/>
    <n v="1006"/>
    <n v="1160"/>
    <m/>
    <m/>
    <n v="0.15308151093439365"/>
    <d v="2026-06-02T00:00:00"/>
    <n v="1344"/>
    <m/>
    <m/>
  </r>
  <r>
    <n v="5"/>
    <x v="4"/>
    <m/>
    <d v="2026-06-01T00:00:00"/>
    <n v="5881"/>
    <n v="6600"/>
    <m/>
    <m/>
    <n v="0.12225811936745451"/>
    <m/>
    <m/>
    <m/>
    <m/>
  </r>
  <r>
    <n v="6"/>
    <x v="5"/>
    <m/>
    <d v="2026-06-01T00:00:00"/>
    <n v="1456"/>
    <n v="1483"/>
    <n v="1438"/>
    <m/>
    <n v="1.8543956043956044E-2"/>
    <d v="2026-06-02T00:00:00"/>
    <n v="1488"/>
    <m/>
    <m/>
  </r>
  <r>
    <n v="7"/>
    <x v="6"/>
    <m/>
    <d v="2026-06-02T00:00:00"/>
    <n v="439.39"/>
    <n v="580"/>
    <m/>
    <m/>
    <n v="0.3200118345888619"/>
    <m/>
    <m/>
    <m/>
    <m/>
  </r>
  <r>
    <n v="8"/>
    <x v="7"/>
    <m/>
    <d v="2026-06-02T00:00:00"/>
    <n v="3104.84"/>
    <n v="3850"/>
    <m/>
    <m/>
    <n v="0.23999948467553878"/>
    <m/>
    <m/>
    <m/>
    <m/>
  </r>
  <r>
    <n v="9"/>
    <x v="8"/>
    <m/>
    <d v="2026-06-02T00:00:00"/>
    <n v="1208.33"/>
    <n v="1450"/>
    <m/>
    <m/>
    <n v="0.20000331035395966"/>
    <m/>
    <m/>
    <m/>
    <m/>
  </r>
  <r>
    <n v="10"/>
    <x v="9"/>
    <m/>
    <d v="2026-06-02T00:00:00"/>
    <n v="932.2"/>
    <n v="1100"/>
    <m/>
    <m/>
    <n v="0.18000429092469422"/>
    <m/>
    <m/>
    <m/>
    <m/>
  </r>
  <r>
    <n v="11"/>
    <x v="10"/>
    <m/>
    <d v="2026-06-02T00:00:00"/>
    <n v="3318.97"/>
    <n v="3850"/>
    <m/>
    <m/>
    <n v="0.15999843324886945"/>
    <m/>
    <m/>
    <m/>
    <m/>
  </r>
  <r>
    <n v="12"/>
    <x v="11"/>
    <m/>
    <d v="2026-06-02T00:00:00"/>
    <n v="1543"/>
    <n v="1720"/>
    <m/>
    <m/>
    <n v="0.11471160077770577"/>
    <m/>
    <m/>
    <m/>
    <m/>
  </r>
  <r>
    <n v="13"/>
    <x v="12"/>
    <m/>
    <d v="2026-06-02T00:00:00"/>
    <n v="434"/>
    <m/>
    <m/>
    <m/>
    <n v="-1"/>
    <m/>
    <m/>
    <m/>
    <m/>
  </r>
  <r>
    <n v="14"/>
    <x v="13"/>
    <m/>
    <d v="2026-06-02T00:00:00"/>
    <n v="185"/>
    <n v="235"/>
    <m/>
    <m/>
    <n v="0.27027027027027029"/>
    <m/>
    <m/>
    <m/>
    <m/>
  </r>
  <r>
    <n v="15"/>
    <x v="14"/>
    <m/>
    <d v="2026-06-02T00:00:00"/>
    <n v="1783"/>
    <n v="2050"/>
    <m/>
    <m/>
    <n v="0.14974761637689288"/>
    <m/>
    <m/>
    <m/>
    <m/>
  </r>
  <r>
    <n v="16"/>
    <x v="1"/>
    <m/>
    <d v="2026-06-02T00:00:00"/>
    <n v="767"/>
    <n v="890"/>
    <n v="705"/>
    <m/>
    <n v="0.16036505867014342"/>
    <m/>
    <m/>
    <m/>
    <m/>
  </r>
  <r>
    <n v="17"/>
    <x v="15"/>
    <m/>
    <d v="2026-06-03T00:00:00"/>
    <n v="835"/>
    <m/>
    <m/>
    <m/>
    <n v="-1"/>
    <m/>
    <m/>
    <m/>
    <m/>
  </r>
  <r>
    <n v="18"/>
    <x v="16"/>
    <m/>
    <d v="2026-06-03T00:00:00"/>
    <n v="537"/>
    <n v="580"/>
    <n v="510"/>
    <m/>
    <n v="8.0074487895716945E-2"/>
    <m/>
    <m/>
    <m/>
    <m/>
  </r>
  <r>
    <n v="19"/>
    <x v="17"/>
    <m/>
    <d v="2026-06-03T00:00:00"/>
    <n v="1074"/>
    <m/>
    <m/>
    <m/>
    <n v="-1"/>
    <m/>
    <m/>
    <m/>
    <m/>
  </r>
  <r>
    <n v="20"/>
    <x v="18"/>
    <m/>
    <d v="2026-06-03T00:00:00"/>
    <n v="406"/>
    <m/>
    <m/>
    <m/>
    <n v="-1"/>
    <m/>
    <m/>
    <m/>
    <m/>
  </r>
  <r>
    <n v="21"/>
    <x v="19"/>
    <m/>
    <d v="2026-06-03T00:00:00"/>
    <n v="1090"/>
    <n v="1200"/>
    <m/>
    <m/>
    <n v="0.10091743119266056"/>
    <m/>
    <m/>
    <m/>
    <m/>
  </r>
  <r>
    <n v="22"/>
    <x v="1"/>
    <m/>
    <d v="2026-06-03T00:00:00"/>
    <n v="767"/>
    <n v="890"/>
    <n v="705"/>
    <n v="1153"/>
    <n v="0.16036505867014342"/>
    <m/>
    <m/>
    <m/>
    <m/>
  </r>
  <r>
    <n v="23"/>
    <x v="20"/>
    <m/>
    <d v="2026-06-04T00:00:00"/>
    <n v="2189"/>
    <n v="2484"/>
    <n v="2040"/>
    <m/>
    <n v="0.13476473275468251"/>
    <m/>
    <m/>
    <m/>
    <m/>
  </r>
  <r>
    <n v="24"/>
    <x v="21"/>
    <m/>
    <d v="2026-06-09T00:00:00"/>
    <n v="305"/>
    <n v="325"/>
    <n v="295"/>
    <m/>
    <n v="6.5573770491803282E-2"/>
    <d v="2026-06-16T00:00:00"/>
    <n v="320"/>
    <m/>
    <m/>
  </r>
  <r>
    <n v="25"/>
    <x v="22"/>
    <m/>
    <d v="2026-06-09T00:00:00"/>
    <n v="168.6"/>
    <m/>
    <m/>
    <m/>
    <n v="-1"/>
    <m/>
    <m/>
    <m/>
    <m/>
  </r>
  <r>
    <n v="26"/>
    <x v="23"/>
    <m/>
    <d v="2026-06-09T00:00:00"/>
    <n v="268"/>
    <n v="360"/>
    <m/>
    <m/>
    <n v="0.34328358208955223"/>
    <m/>
    <n v="348"/>
    <m/>
    <m/>
  </r>
  <r>
    <n v="27"/>
    <x v="1"/>
    <m/>
    <d v="2026-06-09T00:00:00"/>
    <n v="767"/>
    <n v="890"/>
    <n v="705"/>
    <m/>
    <m/>
    <d v="2026-06-11T00:00:00"/>
    <n v="960"/>
    <m/>
    <m/>
  </r>
  <r>
    <n v="28"/>
    <x v="24"/>
    <m/>
    <d v="2026-06-11T00:00:00"/>
    <n v="1438"/>
    <n v="1550"/>
    <n v="1388"/>
    <m/>
    <m/>
    <m/>
    <m/>
    <m/>
    <m/>
  </r>
  <r>
    <n v="29"/>
    <x v="25"/>
    <m/>
    <d v="2026-06-11T00:00:00"/>
    <n v="1506"/>
    <m/>
    <n v="1450"/>
    <m/>
    <m/>
    <m/>
    <m/>
    <m/>
    <m/>
  </r>
  <r>
    <n v="30"/>
    <x v="26"/>
    <m/>
    <d v="2026-06-11T00:00:00"/>
    <n v="1039"/>
    <n v="1280"/>
    <m/>
    <m/>
    <m/>
    <m/>
    <m/>
    <m/>
    <m/>
  </r>
  <r>
    <n v="31"/>
    <x v="27"/>
    <m/>
    <d v="2026-06-11T00:00:00"/>
    <n v="3145"/>
    <n v="3900"/>
    <m/>
    <m/>
    <m/>
    <m/>
    <m/>
    <m/>
    <m/>
  </r>
  <r>
    <n v="32"/>
    <x v="28"/>
    <m/>
    <d v="2026-06-12T00:00:00"/>
    <n v="3089"/>
    <n v="3270"/>
    <n v="3000"/>
    <m/>
    <m/>
    <m/>
    <m/>
    <m/>
    <m/>
  </r>
  <r>
    <n v="33"/>
    <x v="29"/>
    <m/>
    <d v="2026-06-12T00:00:00"/>
    <n v="2779"/>
    <m/>
    <m/>
    <m/>
    <m/>
    <m/>
    <m/>
    <m/>
    <m/>
  </r>
  <r>
    <n v="34"/>
    <x v="30"/>
    <m/>
    <d v="2026-06-12T00:00:00"/>
    <n v="2306"/>
    <m/>
    <m/>
    <m/>
    <m/>
    <m/>
    <m/>
    <m/>
    <m/>
  </r>
  <r>
    <n v="35"/>
    <x v="31"/>
    <m/>
    <d v="2026-06-12T00:00:00"/>
    <n v="1510"/>
    <n v="1860"/>
    <m/>
    <m/>
    <m/>
    <m/>
    <m/>
    <m/>
    <m/>
  </r>
  <r>
    <n v="36"/>
    <x v="32"/>
    <m/>
    <d v="2026-06-12T00:00:00"/>
    <n v="351"/>
    <n v="405"/>
    <n v="322"/>
    <m/>
    <m/>
    <m/>
    <m/>
    <m/>
    <m/>
  </r>
  <r>
    <n v="37"/>
    <x v="33"/>
    <m/>
    <d v="2026-06-15T00:00:00"/>
    <n v="86"/>
    <n v="105"/>
    <n v="76"/>
    <m/>
    <m/>
    <m/>
    <m/>
    <m/>
    <m/>
  </r>
  <r>
    <n v="38"/>
    <x v="34"/>
    <m/>
    <d v="2026-06-15T00:00:00"/>
    <n v="4710"/>
    <n v="5600"/>
    <m/>
    <m/>
    <m/>
    <m/>
    <m/>
    <m/>
    <m/>
  </r>
  <r>
    <n v="39"/>
    <x v="35"/>
    <m/>
    <d v="2026-06-15T00:00:00"/>
    <n v="141"/>
    <m/>
    <m/>
    <m/>
    <m/>
    <m/>
    <m/>
    <m/>
    <m/>
  </r>
  <r>
    <n v="40"/>
    <x v="36"/>
    <m/>
    <d v="2026-06-15T00:00:00"/>
    <n v="2743"/>
    <m/>
    <m/>
    <m/>
    <m/>
    <m/>
    <m/>
    <m/>
    <m/>
  </r>
  <r>
    <n v="41"/>
    <x v="37"/>
    <m/>
    <d v="2026-06-15T00:00:00"/>
    <n v="276"/>
    <n v="294"/>
    <n v="265"/>
    <m/>
    <m/>
    <m/>
    <m/>
    <m/>
    <m/>
  </r>
  <r>
    <n v="42"/>
    <x v="38"/>
    <m/>
    <d v="2026-06-16T00:00:00"/>
    <n v="2020"/>
    <n v="2200"/>
    <n v="1940"/>
    <m/>
    <m/>
    <m/>
    <m/>
    <m/>
    <m/>
  </r>
  <r>
    <n v="43"/>
    <x v="28"/>
    <m/>
    <d v="2026-06-16T00:00:00"/>
    <n v="3171"/>
    <m/>
    <m/>
    <m/>
    <m/>
    <m/>
    <m/>
    <m/>
    <m/>
  </r>
  <r>
    <n v="44"/>
    <x v="39"/>
    <m/>
    <d v="2026-06-16T00:00:00"/>
    <n v="1860"/>
    <m/>
    <m/>
    <m/>
    <m/>
    <m/>
    <m/>
    <m/>
    <m/>
  </r>
  <r>
    <n v="45"/>
    <x v="40"/>
    <m/>
    <d v="2026-06-16T00:00:00"/>
    <n v="7625"/>
    <m/>
    <m/>
    <m/>
    <m/>
    <m/>
    <m/>
    <m/>
    <m/>
  </r>
  <r>
    <n v="46"/>
    <x v="41"/>
    <m/>
    <d v="2026-06-16T00:00:00"/>
    <m/>
    <n v="217"/>
    <m/>
    <m/>
    <m/>
    <m/>
    <m/>
    <m/>
    <m/>
  </r>
  <r>
    <n v="47"/>
    <x v="42"/>
    <m/>
    <d v="2026-06-16T00:00:00"/>
    <m/>
    <n v="125"/>
    <m/>
    <m/>
    <m/>
    <m/>
    <m/>
    <m/>
    <m/>
  </r>
  <r>
    <n v="48"/>
    <x v="43"/>
    <m/>
    <d v="2026-06-16T00:00:00"/>
    <m/>
    <n v="1765"/>
    <m/>
    <m/>
    <m/>
    <m/>
    <m/>
    <m/>
    <m/>
  </r>
  <r>
    <n v="49"/>
    <x v="44"/>
    <m/>
    <d v="2026-06-16T00:00:00"/>
    <n v="210"/>
    <m/>
    <m/>
    <m/>
    <n v="1.4E-2"/>
    <d v="2026-06-16T00:00:00"/>
    <n v="218"/>
    <m/>
    <m/>
  </r>
  <r>
    <n v="50"/>
    <x v="33"/>
    <m/>
    <d v="2026-06-16T00:00:00"/>
    <n v="86"/>
    <n v="105"/>
    <n v="76"/>
    <m/>
    <m/>
    <m/>
    <m/>
    <m/>
    <m/>
  </r>
  <r>
    <n v="51"/>
    <x v="38"/>
    <m/>
    <d v="2026-06-17T00:00:00"/>
    <n v="1953"/>
    <n v="2220"/>
    <n v="1820"/>
    <m/>
    <m/>
    <m/>
    <m/>
    <m/>
    <m/>
  </r>
  <r>
    <n v="52"/>
    <x v="45"/>
    <m/>
    <d v="2026-06-17T00:00:00"/>
    <n v="1079"/>
    <m/>
    <m/>
    <m/>
    <m/>
    <m/>
    <m/>
    <m/>
    <m/>
  </r>
  <r>
    <n v="53"/>
    <x v="5"/>
    <m/>
    <d v="2026-06-17T00:00:00"/>
    <n v="1465"/>
    <n v="1900"/>
    <m/>
    <m/>
    <m/>
    <m/>
    <m/>
    <m/>
    <m/>
  </r>
  <r>
    <n v="54"/>
    <x v="46"/>
    <m/>
    <d v="2026-06-17T00:00:00"/>
    <n v="374"/>
    <m/>
    <m/>
    <m/>
    <m/>
    <m/>
    <m/>
    <m/>
    <m/>
  </r>
  <r>
    <n v="55"/>
    <x v="47"/>
    <m/>
    <d v="2026-06-17T00:00:00"/>
    <n v="1520"/>
    <m/>
    <m/>
    <m/>
    <m/>
    <m/>
    <m/>
    <m/>
    <m/>
  </r>
  <r>
    <n v="56"/>
    <x v="44"/>
    <m/>
    <d v="2026-06-17T00:00:00"/>
    <n v="217"/>
    <n v="234"/>
    <n v="204"/>
    <m/>
    <m/>
    <m/>
    <m/>
    <m/>
    <m/>
  </r>
  <r>
    <n v="57"/>
    <x v="48"/>
    <m/>
    <d v="2026-06-17T00:00:00"/>
    <n v="153"/>
    <n v="159"/>
    <n v="151"/>
    <m/>
    <m/>
    <d v="2026-06-17T00:00:00"/>
    <n v="156.6"/>
    <m/>
    <m/>
  </r>
  <r>
    <n v="58"/>
    <x v="49"/>
    <m/>
    <d v="2026-06-18T00:00:00"/>
    <n v="419"/>
    <n v="510"/>
    <m/>
    <m/>
    <m/>
    <m/>
    <m/>
    <m/>
    <m/>
  </r>
  <r>
    <n v="59"/>
    <x v="2"/>
    <m/>
    <d v="2026-06-18T00:00:00"/>
    <n v="2210"/>
    <n v="2600"/>
    <m/>
    <m/>
    <m/>
    <m/>
    <n v="2450"/>
    <m/>
    <m/>
  </r>
  <r>
    <n v="60"/>
    <x v="50"/>
    <m/>
    <d v="2026-06-18T00:00:00"/>
    <n v="59"/>
    <m/>
    <m/>
    <m/>
    <m/>
    <m/>
    <m/>
    <m/>
    <m/>
  </r>
  <r>
    <n v="61"/>
    <x v="51"/>
    <m/>
    <d v="2026-06-18T00:00:00"/>
    <n v="1026"/>
    <m/>
    <m/>
    <m/>
    <m/>
    <m/>
    <m/>
    <m/>
    <m/>
  </r>
  <r>
    <n v="62"/>
    <x v="49"/>
    <m/>
    <d v="2026-06-18T00:00:00"/>
    <n v="420"/>
    <m/>
    <m/>
    <m/>
    <m/>
    <m/>
    <m/>
    <m/>
    <m/>
  </r>
  <r>
    <n v="63"/>
    <x v="52"/>
    <m/>
    <d v="2026-06-18T00:00:00"/>
    <n v="960"/>
    <n v="1022"/>
    <n v="930"/>
    <m/>
    <m/>
    <m/>
    <m/>
    <m/>
    <m/>
  </r>
  <r>
    <n v="64"/>
    <x v="53"/>
    <m/>
    <d v="2026-06-19T00:00:00"/>
    <n v="3653"/>
    <n v="4100"/>
    <n v="3415"/>
    <m/>
    <m/>
    <m/>
    <m/>
    <m/>
    <m/>
  </r>
  <r>
    <n v="65"/>
    <x v="54"/>
    <m/>
    <d v="2026-06-19T00:00:00"/>
    <n v="353"/>
    <n v="400"/>
    <m/>
    <m/>
    <m/>
    <m/>
    <m/>
    <m/>
    <m/>
  </r>
  <r>
    <n v="66"/>
    <x v="55"/>
    <m/>
    <d v="2026-06-19T00:00:00"/>
    <n v="7965"/>
    <n v="8450"/>
    <m/>
    <m/>
    <m/>
    <m/>
    <m/>
    <m/>
    <m/>
  </r>
  <r>
    <n v="67"/>
    <x v="56"/>
    <m/>
    <d v="2026-06-19T00:00:00"/>
    <n v="406"/>
    <m/>
    <m/>
    <m/>
    <m/>
    <m/>
    <m/>
    <m/>
    <m/>
  </r>
  <r>
    <n v="68"/>
    <x v="57"/>
    <m/>
    <d v="2026-06-19T00:00:00"/>
    <n v="1446"/>
    <m/>
    <m/>
    <m/>
    <m/>
    <m/>
    <m/>
    <m/>
    <m/>
  </r>
  <r>
    <n v="69"/>
    <x v="58"/>
    <m/>
    <d v="2026-06-19T00:00:00"/>
    <n v="3013"/>
    <n v="3230"/>
    <n v="2845"/>
    <m/>
    <m/>
    <m/>
    <m/>
    <m/>
    <m/>
  </r>
  <r>
    <n v="70"/>
    <x v="59"/>
    <m/>
    <d v="2026-06-19T00:00:00"/>
    <m/>
    <m/>
    <m/>
    <m/>
    <n v="0.09"/>
    <m/>
    <m/>
    <m/>
    <m/>
  </r>
  <r>
    <n v="71"/>
    <x v="53"/>
    <m/>
    <d v="2026-06-22T00:00:00"/>
    <n v="3653"/>
    <n v="4100"/>
    <n v="3415"/>
    <m/>
    <m/>
    <m/>
    <m/>
    <m/>
    <m/>
  </r>
  <r>
    <n v="72"/>
    <x v="60"/>
    <m/>
    <d v="2026-06-22T00:00:00"/>
    <n v="1992"/>
    <n v="2350"/>
    <m/>
    <m/>
    <n v="0.2"/>
    <d v="2026-06-22T00:00:00"/>
    <m/>
    <m/>
    <m/>
  </r>
  <r>
    <n v="73"/>
    <x v="6"/>
    <m/>
    <d v="2026-06-22T00:00:00"/>
    <n v="416"/>
    <n v="580"/>
    <m/>
    <m/>
    <n v="0.05"/>
    <m/>
    <m/>
    <m/>
    <m/>
  </r>
  <r>
    <n v="74"/>
    <x v="61"/>
    <m/>
    <d v="2026-06-22T00:00:00"/>
    <n v="1889"/>
    <m/>
    <m/>
    <m/>
    <m/>
    <m/>
    <m/>
    <m/>
    <m/>
  </r>
  <r>
    <n v="75"/>
    <x v="62"/>
    <m/>
    <d v="2026-06-22T00:00:00"/>
    <n v="264"/>
    <m/>
    <m/>
    <m/>
    <m/>
    <m/>
    <m/>
    <m/>
    <m/>
  </r>
  <r>
    <n v="76"/>
    <x v="46"/>
    <m/>
    <d v="2026-06-22T00:00:00"/>
    <n v="376"/>
    <m/>
    <m/>
    <m/>
    <m/>
    <m/>
    <m/>
    <m/>
    <m/>
  </r>
  <r>
    <n v="77"/>
    <x v="63"/>
    <m/>
    <d v="2026-06-22T00:00:00"/>
    <n v="1413"/>
    <n v="1560"/>
    <n v="1340"/>
    <m/>
    <m/>
    <m/>
    <m/>
    <m/>
    <m/>
  </r>
  <r>
    <n v="78"/>
    <x v="64"/>
    <m/>
    <d v="2026-06-23T00:00:00"/>
    <n v="1415"/>
    <n v="1530"/>
    <n v="1360"/>
    <m/>
    <m/>
    <d v="2026-06-30T00:00:00"/>
    <n v="1485"/>
    <m/>
    <m/>
  </r>
  <r>
    <n v="79"/>
    <x v="38"/>
    <m/>
    <d v="2026-06-23T00:00:00"/>
    <n v="2103"/>
    <m/>
    <m/>
    <m/>
    <m/>
    <m/>
    <m/>
    <m/>
    <m/>
  </r>
  <r>
    <n v="80"/>
    <x v="6"/>
    <m/>
    <d v="2026-06-23T00:00:00"/>
    <n v="484"/>
    <m/>
    <m/>
    <m/>
    <m/>
    <m/>
    <m/>
    <m/>
    <m/>
  </r>
  <r>
    <n v="81"/>
    <x v="65"/>
    <m/>
    <d v="2026-06-23T00:00:00"/>
    <n v="1288"/>
    <n v="1490"/>
    <m/>
    <m/>
    <n v="0.16"/>
    <m/>
    <m/>
    <m/>
    <m/>
  </r>
  <r>
    <n v="82"/>
    <x v="66"/>
    <m/>
    <d v="2026-06-23T00:00:00"/>
    <n v="1336"/>
    <n v="1620"/>
    <m/>
    <m/>
    <n v="0.21"/>
    <m/>
    <n v="1430"/>
    <m/>
    <m/>
  </r>
  <r>
    <n v="83"/>
    <x v="53"/>
    <m/>
    <d v="2026-06-23T00:00:00"/>
    <n v="3653"/>
    <n v="4100"/>
    <n v="3415"/>
    <m/>
    <m/>
    <m/>
    <m/>
    <m/>
    <m/>
  </r>
  <r>
    <n v="84"/>
    <x v="67"/>
    <m/>
    <d v="2026-06-24T00:00:00"/>
    <n v="454"/>
    <n v="540"/>
    <m/>
    <m/>
    <m/>
    <m/>
    <m/>
    <m/>
    <m/>
  </r>
  <r>
    <n v="85"/>
    <x v="68"/>
    <m/>
    <d v="2026-06-24T00:00:00"/>
    <n v="12667"/>
    <n v="15290"/>
    <n v="11400"/>
    <m/>
    <m/>
    <m/>
    <m/>
    <m/>
    <m/>
  </r>
  <r>
    <n v="86"/>
    <x v="69"/>
    <m/>
    <d v="2026-06-24T00:00:00"/>
    <n v="829"/>
    <n v="1110"/>
    <m/>
    <m/>
    <m/>
    <m/>
    <m/>
    <m/>
    <n v="12"/>
  </r>
  <r>
    <n v="87"/>
    <x v="70"/>
    <m/>
    <d v="2026-06-24T00:00:00"/>
    <n v="3891"/>
    <m/>
    <m/>
    <m/>
    <m/>
    <m/>
    <m/>
    <m/>
    <m/>
  </r>
  <r>
    <n v="88"/>
    <x v="71"/>
    <m/>
    <d v="2026-06-24T00:00:00"/>
    <n v="346"/>
    <m/>
    <m/>
    <m/>
    <m/>
    <m/>
    <m/>
    <m/>
    <m/>
  </r>
  <r>
    <n v="89"/>
    <x v="45"/>
    <m/>
    <d v="2026-06-24T00:00:00"/>
    <n v="1112"/>
    <n v="1185"/>
    <n v="1080"/>
    <m/>
    <m/>
    <m/>
    <m/>
    <m/>
    <m/>
  </r>
  <r>
    <n v="90"/>
    <x v="13"/>
    <m/>
    <d v="2026-06-24T00:00:00"/>
    <n v="199"/>
    <n v="204"/>
    <n v="197"/>
    <m/>
    <m/>
    <m/>
    <m/>
    <m/>
    <m/>
  </r>
  <r>
    <n v="91"/>
    <x v="53"/>
    <m/>
    <d v="2026-06-25T00:00:00"/>
    <n v="3653"/>
    <n v="4100"/>
    <n v="3415"/>
    <m/>
    <m/>
    <m/>
    <m/>
    <m/>
    <m/>
  </r>
  <r>
    <n v="92"/>
    <x v="38"/>
    <m/>
    <d v="2026-06-25T00:00:00"/>
    <n v="2123"/>
    <m/>
    <m/>
    <m/>
    <m/>
    <m/>
    <m/>
    <m/>
    <m/>
  </r>
  <r>
    <n v="93"/>
    <x v="72"/>
    <m/>
    <d v="2026-06-25T00:00:00"/>
    <n v="1019"/>
    <n v="1175"/>
    <m/>
    <n v="1033"/>
    <m/>
    <m/>
    <m/>
    <m/>
    <m/>
  </r>
  <r>
    <n v="94"/>
    <x v="73"/>
    <m/>
    <d v="2026-06-25T00:00:00"/>
    <n v="413"/>
    <m/>
    <m/>
    <m/>
    <m/>
    <m/>
    <m/>
    <m/>
    <m/>
  </r>
  <r>
    <n v="95"/>
    <x v="74"/>
    <m/>
    <d v="2026-06-25T00:00:00"/>
    <n v="1384"/>
    <n v="1441"/>
    <n v="1350"/>
    <m/>
    <m/>
    <m/>
    <m/>
    <m/>
    <m/>
  </r>
  <r>
    <n v="96"/>
    <x v="75"/>
    <m/>
    <d v="2026-06-29T00:00:00"/>
    <n v="1455"/>
    <n v="1570"/>
    <n v="1380"/>
    <m/>
    <m/>
    <m/>
    <m/>
    <m/>
    <m/>
  </r>
  <r>
    <n v="97"/>
    <x v="76"/>
    <m/>
    <d v="2026-06-29T00:00:00"/>
    <n v="13735"/>
    <m/>
    <m/>
    <m/>
    <m/>
    <m/>
    <m/>
    <m/>
    <m/>
  </r>
  <r>
    <n v="98"/>
    <x v="77"/>
    <m/>
    <d v="2026-06-29T00:00:00"/>
    <n v="391"/>
    <m/>
    <m/>
    <m/>
    <m/>
    <m/>
    <m/>
    <m/>
    <m/>
  </r>
  <r>
    <n v="99"/>
    <x v="78"/>
    <m/>
    <d v="2026-06-29T00:00:00"/>
    <n v="1231"/>
    <n v="1520"/>
    <m/>
    <m/>
    <m/>
    <m/>
    <m/>
    <m/>
    <m/>
  </r>
  <r>
    <n v="100"/>
    <x v="79"/>
    <m/>
    <d v="2026-06-29T00:00:00"/>
    <n v="575"/>
    <n v="700"/>
    <m/>
    <m/>
    <m/>
    <m/>
    <m/>
    <m/>
    <m/>
  </r>
  <r>
    <n v="101"/>
    <x v="80"/>
    <m/>
    <d v="2026-06-29T00:00:00"/>
    <n v="1132"/>
    <n v="1329"/>
    <n v="1035"/>
    <m/>
    <m/>
    <m/>
    <m/>
    <m/>
    <m/>
  </r>
  <r>
    <n v="102"/>
    <x v="72"/>
    <m/>
    <d v="2026-06-29T00:00:00"/>
    <n v="1046"/>
    <n v="1205"/>
    <n v="968"/>
    <m/>
    <m/>
    <m/>
    <m/>
    <m/>
    <m/>
  </r>
  <r>
    <n v="103"/>
    <x v="60"/>
    <m/>
    <d v="2026-07-01T00:00:00"/>
    <n v="2441"/>
    <n v="2750"/>
    <m/>
    <m/>
    <m/>
    <m/>
    <m/>
    <m/>
    <m/>
  </r>
  <r>
    <n v="104"/>
    <x v="81"/>
    <m/>
    <d v="2026-07-01T00:00:00"/>
    <n v="840"/>
    <m/>
    <m/>
    <m/>
    <m/>
    <m/>
    <m/>
    <m/>
    <m/>
  </r>
  <r>
    <n v="105"/>
    <x v="82"/>
    <m/>
    <d v="2026-07-01T00:00:00"/>
    <n v="802"/>
    <m/>
    <m/>
    <m/>
    <m/>
    <m/>
    <m/>
    <m/>
    <m/>
  </r>
  <r>
    <n v="106"/>
    <x v="83"/>
    <m/>
    <d v="2026-07-01T00:00:00"/>
    <n v="4628"/>
    <n v="4850"/>
    <n v="4500"/>
    <m/>
    <m/>
    <m/>
    <m/>
    <m/>
    <m/>
  </r>
  <r>
    <n v="107"/>
    <x v="84"/>
    <m/>
    <d v="2026-07-02T00:00:00"/>
    <n v="1396"/>
    <n v="1940"/>
    <m/>
    <m/>
    <m/>
    <m/>
    <m/>
    <m/>
    <m/>
  </r>
  <r>
    <n v="108"/>
    <x v="85"/>
    <m/>
    <d v="2026-07-02T00:00:00"/>
    <n v="1503"/>
    <n v="1780"/>
    <m/>
    <m/>
    <m/>
    <m/>
    <m/>
    <m/>
    <m/>
  </r>
  <r>
    <n v="109"/>
    <x v="86"/>
    <m/>
    <d v="2026-07-02T00:00:00"/>
    <n v="976"/>
    <m/>
    <m/>
    <m/>
    <m/>
    <m/>
    <m/>
    <m/>
    <m/>
  </r>
  <r>
    <n v="110"/>
    <x v="6"/>
    <m/>
    <d v="2026-07-02T00:00:00"/>
    <n v="508"/>
    <m/>
    <m/>
    <m/>
    <m/>
    <m/>
    <m/>
    <m/>
    <m/>
  </r>
  <r>
    <n v="111"/>
    <x v="47"/>
    <m/>
    <d v="2026-07-02T00:00:00"/>
    <n v="1628"/>
    <n v="1760"/>
    <n v="1540"/>
    <m/>
    <m/>
    <m/>
    <m/>
    <m/>
    <m/>
  </r>
  <r>
    <n v="112"/>
    <x v="84"/>
    <m/>
    <d v="2026-07-03T00:00:00"/>
    <n v="1412"/>
    <n v="1586"/>
    <n v="1331"/>
    <m/>
    <m/>
    <m/>
    <m/>
    <m/>
    <m/>
  </r>
  <r>
    <n v="113"/>
    <x v="87"/>
    <m/>
    <d v="2026-07-03T00:00:00"/>
    <n v="1018"/>
    <m/>
    <m/>
    <m/>
    <m/>
    <m/>
    <m/>
    <m/>
    <m/>
  </r>
  <r>
    <n v="114"/>
    <x v="81"/>
    <m/>
    <d v="2026-07-03T00:00:00"/>
    <n v="856"/>
    <n v="950"/>
    <m/>
    <m/>
    <m/>
    <m/>
    <m/>
    <m/>
    <m/>
  </r>
  <r>
    <n v="115"/>
    <x v="88"/>
    <m/>
    <d v="2026-07-03T00:00:00"/>
    <n v="1027"/>
    <m/>
    <m/>
    <m/>
    <m/>
    <m/>
    <m/>
    <m/>
    <m/>
  </r>
  <r>
    <n v="116"/>
    <x v="89"/>
    <m/>
    <d v="2026-07-03T00:00:00"/>
    <n v="1360"/>
    <m/>
    <m/>
    <m/>
    <m/>
    <m/>
    <m/>
    <m/>
    <m/>
  </r>
  <r>
    <n v="117"/>
    <x v="14"/>
    <m/>
    <d v="2026-07-03T00:00:00"/>
    <n v="1882"/>
    <n v="2017"/>
    <n v="1810"/>
    <m/>
    <m/>
    <m/>
    <m/>
    <m/>
    <m/>
  </r>
  <r>
    <n v="118"/>
    <x v="90"/>
    <m/>
    <d v="2026-07-06T00:00:00"/>
    <n v="235"/>
    <n v="288"/>
    <m/>
    <m/>
    <m/>
    <m/>
    <m/>
    <m/>
    <m/>
  </r>
  <r>
    <n v="119"/>
    <x v="91"/>
    <m/>
    <d v="2026-07-06T00:00:00"/>
    <n v="548"/>
    <n v="612"/>
    <n v="514"/>
    <m/>
    <m/>
    <m/>
    <m/>
    <m/>
    <m/>
  </r>
  <r>
    <n v="120"/>
    <x v="92"/>
    <m/>
    <d v="2026-07-06T00:00:00"/>
    <n v="310"/>
    <m/>
    <m/>
    <m/>
    <m/>
    <m/>
    <m/>
    <m/>
    <m/>
  </r>
  <r>
    <n v="121"/>
    <x v="54"/>
    <m/>
    <d v="2026-07-07T00:00:00"/>
    <n v="352"/>
    <m/>
    <m/>
    <m/>
    <m/>
    <m/>
    <m/>
    <m/>
    <m/>
  </r>
  <r>
    <n v="122"/>
    <x v="93"/>
    <m/>
    <d v="2026-07-07T00:00:00"/>
    <n v="4484"/>
    <n v="5250"/>
    <m/>
    <m/>
    <m/>
    <m/>
    <m/>
    <m/>
    <m/>
  </r>
  <r>
    <n v="123"/>
    <x v="20"/>
    <m/>
    <d v="2026-07-07T00:00:00"/>
    <n v="2246"/>
    <m/>
    <m/>
    <m/>
    <m/>
    <m/>
    <m/>
    <m/>
    <m/>
  </r>
  <r>
    <n v="124"/>
    <x v="94"/>
    <m/>
    <d v="2026-07-07T00:00:00"/>
    <n v="78"/>
    <m/>
    <m/>
    <m/>
    <m/>
    <m/>
    <m/>
    <m/>
    <m/>
  </r>
  <r>
    <n v="125"/>
    <x v="95"/>
    <m/>
    <d v="2026-07-07T00:00:00"/>
    <n v="3213"/>
    <n v="3367"/>
    <n v="3130"/>
    <m/>
    <m/>
    <m/>
    <m/>
    <m/>
    <m/>
  </r>
  <r>
    <n v="126"/>
    <x v="62"/>
    <m/>
    <d v="2026-07-08T00:00:00"/>
    <n v="289"/>
    <n v="310"/>
    <n v="278"/>
    <m/>
    <m/>
    <m/>
    <m/>
    <m/>
    <m/>
  </r>
  <r>
    <n v="127"/>
    <x v="5"/>
    <m/>
    <d v="2026-07-08T00:00:00"/>
    <n v="1516"/>
    <m/>
    <m/>
    <m/>
    <m/>
    <m/>
    <m/>
    <m/>
    <m/>
  </r>
  <r>
    <n v="128"/>
    <x v="96"/>
    <m/>
    <d v="2026-07-08T00:00:00"/>
    <n v="1110"/>
    <m/>
    <m/>
    <m/>
    <m/>
    <m/>
    <m/>
    <m/>
    <m/>
  </r>
  <r>
    <n v="129"/>
    <x v="81"/>
    <m/>
    <d v="2026-07-08T00:00:00"/>
    <n v="848"/>
    <n v="1000"/>
    <m/>
    <m/>
    <m/>
    <m/>
    <m/>
    <m/>
    <m/>
  </r>
  <r>
    <n v="130"/>
    <x v="97"/>
    <m/>
    <d v="2026-07-08T00:00:00"/>
    <n v="1785"/>
    <m/>
    <m/>
    <m/>
    <m/>
    <m/>
    <m/>
    <m/>
    <m/>
  </r>
  <r>
    <n v="131"/>
    <x v="92"/>
    <s v="Velocity Idea"/>
    <d v="2026-07-08T00:00:00"/>
    <n v="317"/>
    <n v="370"/>
    <n v="290"/>
    <m/>
    <m/>
    <m/>
    <m/>
    <m/>
    <m/>
  </r>
  <r>
    <n v="132"/>
    <x v="67"/>
    <m/>
    <d v="2026-07-09T00:00:00"/>
    <n v="415"/>
    <n v="540"/>
    <m/>
    <m/>
    <m/>
    <m/>
    <m/>
    <m/>
    <m/>
  </r>
  <r>
    <n v="133"/>
    <x v="98"/>
    <m/>
    <d v="2026-07-09T00:00:00"/>
    <n v="1132"/>
    <n v="1406"/>
    <m/>
    <m/>
    <m/>
    <m/>
    <m/>
    <m/>
    <m/>
  </r>
  <r>
    <n v="134"/>
    <x v="99"/>
    <m/>
    <d v="2026-07-09T00:00:00"/>
    <n v="421"/>
    <m/>
    <m/>
    <m/>
    <m/>
    <m/>
    <m/>
    <m/>
    <m/>
  </r>
  <r>
    <n v="135"/>
    <x v="100"/>
    <s v="Conviction Delivery Idea"/>
    <d v="2026-07-09T00:00:00"/>
    <n v="1200"/>
    <n v="1300"/>
    <n v="1150"/>
    <m/>
    <m/>
    <m/>
    <m/>
    <m/>
    <m/>
  </r>
  <r>
    <n v="136"/>
    <x v="92"/>
    <s v="Velocity Idea"/>
    <d v="2026-07-10T00:00:00"/>
    <n v="317"/>
    <n v="370"/>
    <n v="290"/>
    <m/>
    <m/>
    <m/>
    <m/>
    <m/>
    <m/>
  </r>
  <r>
    <n v="137"/>
    <x v="21"/>
    <s v="Fundamental "/>
    <d v="2026-07-10T00:00:00"/>
    <n v="328"/>
    <n v="375"/>
    <m/>
    <m/>
    <m/>
    <m/>
    <m/>
    <m/>
    <m/>
  </r>
  <r>
    <n v="138"/>
    <x v="68"/>
    <s v="Fundamental "/>
    <d v="2026-07-10T00:00:00"/>
    <n v="13477"/>
    <n v="16100"/>
    <m/>
    <m/>
    <m/>
    <m/>
    <m/>
    <m/>
    <m/>
  </r>
  <r>
    <n v="139"/>
    <x v="63"/>
    <s v="Technical Radar"/>
    <d v="2026-07-10T00:00:00"/>
    <n v="1507"/>
    <m/>
    <m/>
    <m/>
    <m/>
    <m/>
    <m/>
    <m/>
    <m/>
  </r>
  <r>
    <n v="140"/>
    <x v="101"/>
    <m/>
    <d v="2026-07-10T00:00:00"/>
    <n v="1954"/>
    <m/>
    <m/>
    <m/>
    <m/>
    <m/>
    <m/>
    <m/>
    <m/>
  </r>
  <r>
    <n v="141"/>
    <x v="102"/>
    <s v="Technical Radar"/>
    <d v="2026-07-10T00:00:00"/>
    <n v="3429"/>
    <n v="3715"/>
    <n v="3290"/>
    <m/>
    <m/>
    <m/>
    <m/>
    <m/>
    <m/>
  </r>
  <r>
    <n v="142"/>
    <x v="103"/>
    <s v="Consolidation Breakout"/>
    <d v="2026-07-13T00:00:00"/>
    <n v="1431"/>
    <n v="1520"/>
    <n v="1380"/>
    <m/>
    <m/>
    <m/>
    <m/>
    <m/>
    <m/>
  </r>
  <r>
    <n v="143"/>
    <x v="104"/>
    <s v="Consolidation Breakout"/>
    <d v="2026-07-13T00:00:00"/>
    <m/>
    <m/>
    <m/>
    <m/>
    <m/>
    <m/>
    <m/>
    <m/>
    <m/>
  </r>
  <r>
    <n v="144"/>
    <x v="105"/>
    <m/>
    <d v="2026-07-13T00:00:00"/>
    <m/>
    <m/>
    <m/>
    <m/>
    <m/>
    <m/>
    <m/>
    <m/>
    <m/>
  </r>
  <r>
    <n v="145"/>
    <x v="106"/>
    <m/>
    <d v="2026-07-13T00:00:00"/>
    <n v="321"/>
    <n v="370"/>
    <m/>
    <m/>
    <m/>
    <m/>
    <m/>
    <m/>
    <m/>
  </r>
  <r>
    <n v="146"/>
    <x v="107"/>
    <m/>
    <d v="2026-07-13T00:00:00"/>
    <n v="871"/>
    <n v="1025"/>
    <m/>
    <m/>
    <m/>
    <m/>
    <m/>
    <m/>
    <m/>
  </r>
  <r>
    <n v="147"/>
    <x v="72"/>
    <s v="Velocity Idea"/>
    <d v="2026-07-13T00:00:00"/>
    <n v="1046"/>
    <n v="1205"/>
    <n v="968"/>
    <m/>
    <m/>
    <m/>
    <m/>
    <m/>
    <m/>
  </r>
  <r>
    <n v="148"/>
    <x v="108"/>
    <m/>
    <d v="2026-07-14T00:00:00"/>
    <n v="760"/>
    <n v="830"/>
    <n v="727"/>
    <m/>
    <m/>
    <m/>
    <m/>
    <m/>
    <m/>
  </r>
  <r>
    <n v="149"/>
    <x v="109"/>
    <s v="Range breakout bullish candle"/>
    <d v="2026-07-14T00:00:00"/>
    <n v="351"/>
    <m/>
    <m/>
    <m/>
    <m/>
    <m/>
    <m/>
    <m/>
    <m/>
  </r>
  <r>
    <n v="150"/>
    <x v="110"/>
    <m/>
    <d v="2026-07-14T00:00:00"/>
    <n v="308"/>
    <m/>
    <m/>
    <m/>
    <m/>
    <m/>
    <m/>
    <m/>
    <m/>
  </r>
  <r>
    <n v="151"/>
    <x v="111"/>
    <m/>
    <d v="2026-07-14T00:00:00"/>
    <n v="3206"/>
    <n v="3800"/>
    <m/>
    <m/>
    <m/>
    <m/>
    <m/>
    <m/>
    <m/>
  </r>
  <r>
    <n v="152"/>
    <x v="112"/>
    <m/>
    <d v="2026-07-14T00:00:00"/>
    <n v="1221"/>
    <n v="1450"/>
    <m/>
    <m/>
    <m/>
    <m/>
    <m/>
    <m/>
    <m/>
  </r>
  <r>
    <n v="153"/>
    <x v="113"/>
    <s v="Fundamental "/>
    <d v="2026-07-15T00:00:00"/>
    <n v="168"/>
    <n v="200"/>
    <m/>
    <m/>
    <m/>
    <m/>
    <m/>
    <m/>
    <m/>
  </r>
  <r>
    <n v="154"/>
    <x v="114"/>
    <s v="Initiating coverage"/>
    <d v="2026-07-15T00:00:00"/>
    <n v="449"/>
    <n v="565"/>
    <m/>
    <m/>
    <m/>
    <m/>
    <m/>
    <m/>
    <m/>
  </r>
  <r>
    <n v="155"/>
    <x v="115"/>
    <s v="Watchlist"/>
    <d v="2026-07-15T00:00:00"/>
    <n v="1604"/>
    <m/>
    <m/>
    <m/>
    <m/>
    <m/>
    <m/>
    <m/>
    <m/>
  </r>
  <r>
    <n v="156"/>
    <x v="116"/>
    <s v="Watchlist"/>
    <d v="2026-07-15T00:00:00"/>
    <n v="1826"/>
    <m/>
    <m/>
    <m/>
    <m/>
    <m/>
    <m/>
    <m/>
    <m/>
  </r>
  <r>
    <n v="157"/>
    <x v="117"/>
    <s v="Technical Radar"/>
    <d v="2026-07-15T00:00:00"/>
    <n v="1840"/>
    <n v="1790"/>
    <m/>
    <m/>
    <m/>
    <m/>
    <m/>
    <m/>
    <m/>
  </r>
  <r>
    <n v="158"/>
    <x v="116"/>
    <s v="Technical conviction"/>
    <d v="2026-07-16T00:00:00"/>
    <n v="1860"/>
    <n v="1980"/>
    <n v="1800"/>
    <m/>
    <m/>
    <m/>
    <m/>
    <m/>
    <m/>
  </r>
  <r>
    <n v="159"/>
    <x v="118"/>
    <s v="Watchlist"/>
    <d v="2026-07-16T00:00:00"/>
    <n v="7203"/>
    <m/>
    <m/>
    <m/>
    <m/>
    <m/>
    <m/>
    <m/>
    <m/>
  </r>
  <r>
    <n v="160"/>
    <x v="119"/>
    <s v="Watchlist"/>
    <d v="2026-07-16T00:00:00"/>
    <n v="4133"/>
    <m/>
    <m/>
    <m/>
    <m/>
    <m/>
    <m/>
    <m/>
    <m/>
  </r>
  <r>
    <n v="161"/>
    <x v="120"/>
    <s v="Initiating coverage"/>
    <d v="2026-07-16T00:00:00"/>
    <n v="1204"/>
    <n v="1530"/>
    <m/>
    <m/>
    <m/>
    <m/>
    <m/>
    <m/>
    <m/>
  </r>
  <r>
    <n v="162"/>
    <x v="13"/>
    <s v="Fundamental "/>
    <d v="2026-07-16T00:00:00"/>
    <n v="216"/>
    <n v="250"/>
    <m/>
    <m/>
    <m/>
    <m/>
    <m/>
    <m/>
    <m/>
  </r>
  <r>
    <n v="163"/>
    <x v="80"/>
    <s v="Velocity Idea"/>
    <d v="2026-07-16T00:00:00"/>
    <n v="1132"/>
    <n v="1329"/>
    <n v="1035"/>
    <m/>
    <m/>
    <m/>
    <m/>
    <m/>
    <m/>
  </r>
  <r>
    <n v="164"/>
    <x v="121"/>
    <m/>
    <d v="2026-07-17T00:00:00"/>
    <n v="350"/>
    <n v="420"/>
    <m/>
    <m/>
    <m/>
    <m/>
    <m/>
    <m/>
    <m/>
  </r>
  <r>
    <n v="165"/>
    <x v="122"/>
    <m/>
    <d v="2026-07-17T00:00:00"/>
    <n v="1510"/>
    <n v="1900"/>
    <m/>
    <m/>
    <m/>
    <m/>
    <m/>
    <m/>
    <m/>
  </r>
  <r>
    <n v="166"/>
    <x v="123"/>
    <m/>
    <d v="2026-07-17T00:00:00"/>
    <n v="2185"/>
    <n v="2620"/>
    <m/>
    <m/>
    <m/>
    <m/>
    <m/>
    <m/>
    <m/>
  </r>
  <r>
    <n v="167"/>
    <x v="124"/>
    <m/>
    <d v="2026-07-17T00:00:00"/>
    <m/>
    <m/>
    <m/>
    <m/>
    <m/>
    <m/>
    <m/>
    <m/>
    <m/>
  </r>
  <r>
    <n v="168"/>
    <x v="125"/>
    <m/>
    <d v="2026-07-17T00:00:00"/>
    <m/>
    <m/>
    <m/>
    <m/>
    <m/>
    <m/>
    <m/>
    <m/>
    <m/>
  </r>
  <r>
    <n v="169"/>
    <x v="126"/>
    <m/>
    <d v="2026-07-17T00:00:00"/>
    <n v="725"/>
    <n v="780"/>
    <n v="695"/>
    <m/>
    <m/>
    <m/>
    <m/>
    <m/>
    <m/>
  </r>
  <r>
    <n v="170"/>
    <x v="99"/>
    <s v="Conviction Delivery Idea"/>
    <d v="2026-07-20T00:00:00"/>
    <n v="435"/>
    <n v="475"/>
    <n v="415"/>
    <m/>
    <m/>
    <m/>
    <m/>
    <m/>
    <m/>
  </r>
  <r>
    <n v="171"/>
    <x v="110"/>
    <m/>
    <d v="2026-07-20T00:00:00"/>
    <n v="310"/>
    <m/>
    <m/>
    <m/>
    <m/>
    <m/>
    <m/>
    <m/>
    <m/>
  </r>
  <r>
    <n v="172"/>
    <x v="127"/>
    <m/>
    <d v="2026-07-20T00:00:00"/>
    <n v="204"/>
    <m/>
    <m/>
    <m/>
    <m/>
    <m/>
    <m/>
    <m/>
    <m/>
  </r>
  <r>
    <n v="173"/>
    <x v="128"/>
    <m/>
    <d v="2026-07-20T00:00:00"/>
    <n v="1444"/>
    <n v="1750"/>
    <m/>
    <m/>
    <m/>
    <m/>
    <m/>
    <m/>
    <m/>
  </r>
  <r>
    <n v="174"/>
    <x v="129"/>
    <m/>
    <d v="2026-07-20T00:00:00"/>
    <n v="1237"/>
    <n v="1470"/>
    <m/>
    <m/>
    <m/>
    <m/>
    <m/>
    <m/>
    <m/>
  </r>
  <r>
    <n v="175"/>
    <x v="130"/>
    <m/>
    <d v="2026-07-20T00:00:00"/>
    <n v="1412"/>
    <n v="1586"/>
    <m/>
    <m/>
    <m/>
    <m/>
    <m/>
    <m/>
    <m/>
  </r>
  <r>
    <n v="176"/>
    <x v="131"/>
    <s v="Conviction Delivery Idea"/>
    <d v="2026-07-20T00:00:00"/>
    <n v="3388"/>
    <n v="3684"/>
    <n v="3240"/>
    <m/>
    <m/>
    <m/>
    <m/>
    <m/>
    <m/>
  </r>
  <r>
    <n v="177"/>
    <x v="132"/>
    <m/>
    <d v="2026-07-21T00:00:00"/>
    <n v="1348"/>
    <m/>
    <m/>
    <m/>
    <m/>
    <m/>
    <m/>
    <m/>
    <m/>
  </r>
  <r>
    <n v="178"/>
    <x v="133"/>
    <m/>
    <d v="2026-07-21T00:00:00"/>
    <n v="1862"/>
    <n v="2260"/>
    <m/>
    <m/>
    <m/>
    <m/>
    <m/>
    <m/>
    <m/>
  </r>
  <r>
    <n v="179"/>
    <x v="134"/>
    <m/>
    <d v="2026-07-21T00:00:00"/>
    <n v="1908"/>
    <n v="2070"/>
    <n v="1800"/>
    <m/>
    <m/>
    <m/>
    <m/>
    <m/>
    <m/>
  </r>
  <r>
    <n v="180"/>
    <x v="135"/>
    <m/>
    <d v="2026-07-21T00:00:00"/>
    <m/>
    <m/>
    <m/>
    <m/>
    <m/>
    <m/>
    <m/>
    <m/>
    <m/>
  </r>
  <r>
    <n v="181"/>
    <x v="136"/>
    <m/>
    <d v="2026-07-21T00:00:00"/>
    <m/>
    <m/>
    <m/>
    <m/>
    <m/>
    <m/>
    <m/>
    <m/>
    <m/>
  </r>
  <r>
    <n v="182"/>
    <x v="137"/>
    <m/>
    <d v="2026-07-22T00:00:00"/>
    <n v="623"/>
    <n v="800"/>
    <m/>
    <m/>
    <m/>
    <m/>
    <m/>
    <m/>
    <m/>
  </r>
  <r>
    <n v="183"/>
    <x v="138"/>
    <m/>
    <d v="2026-07-22T00:00:00"/>
    <n v="10404"/>
    <n v="12096"/>
    <m/>
    <m/>
    <m/>
    <m/>
    <m/>
    <m/>
    <m/>
  </r>
  <r>
    <n v="184"/>
    <x v="139"/>
    <m/>
    <d v="2026-07-22T00:00:00"/>
    <n v="4582"/>
    <n v="4717"/>
    <n v="4450"/>
    <m/>
    <m/>
    <m/>
    <m/>
    <m/>
    <m/>
  </r>
  <r>
    <n v="185"/>
    <x v="4"/>
    <m/>
    <d v="2026-07-22T00:00:00"/>
    <m/>
    <m/>
    <m/>
    <m/>
    <m/>
    <m/>
    <m/>
    <m/>
    <m/>
  </r>
  <r>
    <n v="186"/>
    <x v="140"/>
    <m/>
    <d v="2026-07-22T00:00:00"/>
    <m/>
    <m/>
    <m/>
    <m/>
    <m/>
    <m/>
    <m/>
    <m/>
    <m/>
  </r>
  <r>
    <n v="187"/>
    <x v="141"/>
    <m/>
    <d v="2026-07-22T00:00:00"/>
    <n v="94.36"/>
    <n v="92.4"/>
    <n v="95.7"/>
    <m/>
    <m/>
    <m/>
    <m/>
    <m/>
    <m/>
  </r>
  <r>
    <n v="188"/>
    <x v="142"/>
    <m/>
    <d v="2026-07-23T00:00:00"/>
    <m/>
    <n v="373"/>
    <m/>
    <m/>
    <m/>
    <m/>
    <m/>
    <m/>
    <m/>
  </r>
  <r>
    <n v="189"/>
    <x v="143"/>
    <s v="Technical conviction"/>
    <d v="2026-07-23T00:00:00"/>
    <n v="1494"/>
    <n v="1600"/>
    <n v="1450"/>
    <m/>
    <m/>
    <m/>
    <m/>
    <m/>
    <m/>
  </r>
  <r>
    <n v="190"/>
    <x v="99"/>
    <m/>
    <d v="2026-07-23T00:00:00"/>
    <n v="448"/>
    <m/>
    <m/>
    <m/>
    <m/>
    <m/>
    <m/>
    <m/>
    <m/>
  </r>
  <r>
    <n v="191"/>
    <x v="144"/>
    <s v="Fundamental actionable idea"/>
    <d v="2026-07-23T00:00:00"/>
    <n v="726"/>
    <m/>
    <m/>
    <m/>
    <m/>
    <m/>
    <m/>
    <m/>
    <m/>
  </r>
  <r>
    <n v="192"/>
    <x v="145"/>
    <s v="Fundamental actionable idea"/>
    <d v="2026-07-23T00:00:00"/>
    <n v="1148"/>
    <n v="1380"/>
    <m/>
    <m/>
    <m/>
    <m/>
    <m/>
    <m/>
    <m/>
  </r>
  <r>
    <n v="193"/>
    <x v="146"/>
    <m/>
    <d v="2026-07-24T00:00:00"/>
    <n v="188"/>
    <m/>
    <m/>
    <m/>
    <m/>
    <m/>
    <m/>
    <m/>
    <m/>
  </r>
  <r>
    <n v="194"/>
    <x v="147"/>
    <m/>
    <d v="2026-07-24T00:00:00"/>
    <n v="109"/>
    <m/>
    <m/>
    <m/>
    <m/>
    <m/>
    <m/>
    <m/>
    <m/>
  </r>
  <r>
    <n v="195"/>
    <x v="148"/>
    <m/>
    <d v="2026-07-24T00:00:00"/>
    <n v="3230"/>
    <n v="3404"/>
    <n v="3145"/>
    <m/>
    <m/>
    <m/>
    <m/>
    <m/>
    <m/>
  </r>
  <r>
    <n v="196"/>
    <x v="80"/>
    <m/>
    <d v="2026-07-24T00:00:00"/>
    <n v="1132"/>
    <n v="1329"/>
    <m/>
    <m/>
    <m/>
    <m/>
    <m/>
    <m/>
    <m/>
  </r>
  <r>
    <n v="197"/>
    <x v="137"/>
    <m/>
    <d v="2026-07-24T00:00:00"/>
    <n v="668.2"/>
    <n v="678.5"/>
    <n v="664"/>
    <m/>
    <m/>
    <m/>
    <m/>
    <m/>
    <m/>
  </r>
  <r>
    <n v="198"/>
    <x v="149"/>
    <m/>
    <d v="2026-07-24T00:00:00"/>
    <n v="1846"/>
    <n v="1872"/>
    <n v="1833"/>
    <m/>
    <m/>
    <m/>
    <m/>
    <m/>
    <m/>
  </r>
  <r>
    <n v="199"/>
    <x v="86"/>
    <m/>
    <d v="2026-07-24T00:00:00"/>
    <m/>
    <m/>
    <m/>
    <m/>
    <m/>
    <m/>
    <m/>
    <m/>
    <m/>
  </r>
  <r>
    <n v="200"/>
    <x v="150"/>
    <m/>
    <d v="2026-07-27T00:00:00"/>
    <n v="2439"/>
    <n v="2590"/>
    <n v="2360"/>
    <m/>
    <m/>
    <m/>
    <m/>
    <m/>
    <m/>
  </r>
  <r>
    <n v="201"/>
    <x v="132"/>
    <s v="Technical Radar"/>
    <d v="2026-07-27T00:00:00"/>
    <n v="1283"/>
    <m/>
    <m/>
    <m/>
    <m/>
    <m/>
    <m/>
    <m/>
    <m/>
  </r>
  <r>
    <n v="202"/>
    <x v="151"/>
    <m/>
    <d v="2026-07-27T00:00:00"/>
    <n v="81"/>
    <m/>
    <m/>
    <m/>
    <m/>
    <m/>
    <m/>
    <m/>
    <m/>
  </r>
  <r>
    <n v="203"/>
    <x v="63"/>
    <m/>
    <d v="2026-07-27T00:00:00"/>
    <n v="1601"/>
    <n v="1980"/>
    <m/>
    <m/>
    <m/>
    <m/>
    <m/>
    <m/>
    <m/>
  </r>
  <r>
    <n v="204"/>
    <x v="80"/>
    <m/>
    <d v="2026-07-27T00:00:00"/>
    <n v="1132"/>
    <n v="1329"/>
    <n v="1035"/>
    <m/>
    <m/>
    <m/>
    <m/>
    <m/>
    <m/>
  </r>
  <r>
    <n v="205"/>
    <x v="75"/>
    <m/>
    <d v="2026-07-28T00:00:00"/>
    <m/>
    <m/>
    <m/>
    <m/>
    <m/>
    <m/>
    <m/>
    <m/>
    <m/>
  </r>
  <r>
    <n v="206"/>
    <x v="152"/>
    <s v="Conviction Delivery Idea"/>
    <d v="2026-07-28T00:00:00"/>
    <n v="572"/>
    <n v="615"/>
    <n v="555"/>
    <m/>
    <m/>
    <m/>
    <m/>
    <m/>
    <m/>
  </r>
  <r>
    <n v="207"/>
    <x v="148"/>
    <s v="Consolidation Breakout"/>
    <d v="2026-07-28T00:00:00"/>
    <m/>
    <m/>
    <m/>
    <m/>
    <m/>
    <m/>
    <m/>
    <m/>
    <m/>
  </r>
  <r>
    <n v="208"/>
    <x v="146"/>
    <m/>
    <d v="2026-07-28T00:00:00"/>
    <n v="185"/>
    <n v="240"/>
    <m/>
    <m/>
    <m/>
    <m/>
    <m/>
    <m/>
    <m/>
  </r>
  <r>
    <n v="209"/>
    <x v="87"/>
    <m/>
    <d v="2026-07-28T00:00:00"/>
    <m/>
    <m/>
    <m/>
    <m/>
    <m/>
    <m/>
    <m/>
    <m/>
    <m/>
  </r>
  <r>
    <n v="210"/>
    <x v="153"/>
    <s v="Fundamental actionable idea"/>
    <d v="2026-07-28T00:00:00"/>
    <n v="1199"/>
    <n v="1430"/>
    <m/>
    <m/>
    <m/>
    <m/>
    <m/>
    <m/>
    <m/>
  </r>
  <r>
    <n v="211"/>
    <x v="80"/>
    <s v="Velocity Idea"/>
    <d v="2026-07-28T00:00:00"/>
    <n v="1132"/>
    <n v="1329"/>
    <n v="1035"/>
    <m/>
    <m/>
    <m/>
    <m/>
    <m/>
    <m/>
  </r>
  <r>
    <n v="212"/>
    <x v="154"/>
    <m/>
    <d v="2026-07-28T00:00:00"/>
    <n v="525"/>
    <n v="536"/>
    <n v="521"/>
    <m/>
    <m/>
    <m/>
    <m/>
    <m/>
    <m/>
  </r>
  <r>
    <n v="213"/>
    <x v="88"/>
    <m/>
    <d v="2026-07-28T00:00:00"/>
    <n v="1220"/>
    <n v="1262"/>
    <n v="1200"/>
    <m/>
    <m/>
    <m/>
    <m/>
    <m/>
    <m/>
  </r>
  <r>
    <n v="214"/>
    <x v="155"/>
    <s v="Conviction Delivery Idea"/>
    <d v="2026-07-29T00:00:00"/>
    <n v="3994"/>
    <n v="3850"/>
    <n v="4250"/>
    <m/>
    <m/>
    <m/>
    <m/>
    <m/>
    <m/>
  </r>
  <r>
    <n v="215"/>
    <x v="156"/>
    <s v="Consolidation Breakout"/>
    <d v="2026-07-29T00:00:00"/>
    <n v="7425"/>
    <m/>
    <n v="7300"/>
    <m/>
    <m/>
    <m/>
    <m/>
    <m/>
    <m/>
  </r>
  <r>
    <n v="216"/>
    <x v="92"/>
    <s v="Consolidation Breakout"/>
    <d v="2026-07-29T00:00:00"/>
    <n v="330"/>
    <m/>
    <n v="315"/>
    <m/>
    <m/>
    <m/>
    <m/>
    <m/>
    <m/>
  </r>
  <r>
    <n v="217"/>
    <x v="157"/>
    <s v="Fundamental Idea"/>
    <d v="2026-07-29T00:00:00"/>
    <n v="3833"/>
    <n v="4550"/>
    <m/>
    <m/>
    <m/>
    <m/>
    <m/>
    <m/>
    <m/>
  </r>
  <r>
    <n v="218"/>
    <x v="158"/>
    <s v="Fundamental Idea"/>
    <d v="2026-07-29T00:00:00"/>
    <n v="1753"/>
    <n v="2140"/>
    <m/>
    <m/>
    <m/>
    <m/>
    <m/>
    <m/>
    <m/>
  </r>
  <r>
    <n v="219"/>
    <x v="53"/>
    <s v="Velocity Idea"/>
    <d v="2026-07-29T00:00:00"/>
    <n v="4327"/>
    <n v="5250"/>
    <n v="3870"/>
    <m/>
    <m/>
    <m/>
    <m/>
    <m/>
    <m/>
  </r>
  <r>
    <n v="220"/>
    <x v="53"/>
    <s v="Velocity Idea"/>
    <d v="2026-07-30T00:00:00"/>
    <n v="4327"/>
    <n v="5250"/>
    <n v="3870"/>
    <m/>
    <m/>
    <m/>
    <m/>
    <m/>
    <m/>
  </r>
  <r>
    <n v="221"/>
    <x v="66"/>
    <s v="Fundamental Idea"/>
    <d v="2026-07-30T00:00:00"/>
    <n v="1343"/>
    <n v="1630"/>
    <m/>
    <m/>
    <m/>
    <m/>
    <m/>
    <m/>
    <m/>
  </r>
  <r>
    <n v="222"/>
    <x v="43"/>
    <s v="Fundamental Idea"/>
    <d v="2026-07-30T00:00:00"/>
    <n v="1523"/>
    <n v="1765"/>
    <m/>
    <m/>
    <m/>
    <m/>
    <m/>
    <m/>
    <m/>
  </r>
  <r>
    <n v="223"/>
    <x v="14"/>
    <s v="Positive View"/>
    <d v="2026-07-30T00:00:00"/>
    <m/>
    <m/>
    <m/>
    <m/>
    <m/>
    <m/>
    <m/>
    <m/>
    <m/>
  </r>
  <r>
    <n v="224"/>
    <x v="159"/>
    <s v="Positive View"/>
    <d v="2026-07-30T00:00:00"/>
    <m/>
    <m/>
    <m/>
    <m/>
    <m/>
    <m/>
    <m/>
    <m/>
    <m/>
  </r>
  <r>
    <n v="225"/>
    <x v="157"/>
    <s v="Positive View"/>
    <d v="2026-07-30T00:00:00"/>
    <m/>
    <m/>
    <m/>
    <m/>
    <m/>
    <m/>
    <m/>
    <m/>
    <m/>
  </r>
  <r>
    <n v="226"/>
    <x v="78"/>
    <m/>
    <d v="2026-07-30T00:00:00"/>
    <n v="1277"/>
    <m/>
    <m/>
    <m/>
    <m/>
    <m/>
    <m/>
    <m/>
    <m/>
  </r>
  <r>
    <n v="227"/>
    <x v="110"/>
    <m/>
    <d v="2026-07-30T00:00:00"/>
    <m/>
    <m/>
    <m/>
    <m/>
    <m/>
    <m/>
    <m/>
    <m/>
    <m/>
  </r>
  <r>
    <n v="228"/>
    <x v="25"/>
    <s v="Conviction Delivery Idea"/>
    <d v="2026-07-30T00:00:00"/>
    <n v="1630"/>
    <n v="1750"/>
    <n v="1570"/>
    <m/>
    <m/>
    <m/>
    <m/>
    <m/>
    <m/>
  </r>
  <r>
    <n v="229"/>
    <x v="160"/>
    <s v="Technical breakout"/>
    <d v="2026-07-30T00:00:00"/>
    <n v="1871"/>
    <n v="2176"/>
    <n v="1720"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  <r>
    <m/>
    <x v="161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2B1736-A861-4F03-AEBC-10D470261FB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6" firstHeaderRow="1" firstDataRow="1" firstDataCol="1"/>
  <pivotFields count="13">
    <pivotField showAll="0"/>
    <pivotField axis="axisRow" dataField="1" showAll="0" sortType="descending">
      <items count="163">
        <item x="91"/>
        <item x="118"/>
        <item x="46"/>
        <item x="77"/>
        <item x="130"/>
        <item x="115"/>
        <item x="14"/>
        <item x="58"/>
        <item x="84"/>
        <item x="1"/>
        <item x="89"/>
        <item x="101"/>
        <item x="55"/>
        <item x="19"/>
        <item x="54"/>
        <item x="97"/>
        <item x="100"/>
        <item x="74"/>
        <item x="20"/>
        <item x="150"/>
        <item x="138"/>
        <item x="87"/>
        <item x="44"/>
        <item x="33"/>
        <item x="49"/>
        <item x="38"/>
        <item x="56"/>
        <item x="103"/>
        <item x="52"/>
        <item x="86"/>
        <item x="158"/>
        <item x="64"/>
        <item x="5"/>
        <item x="85"/>
        <item x="4"/>
        <item x="137"/>
        <item x="149"/>
        <item x="6"/>
        <item x="156"/>
        <item x="68"/>
        <item x="104"/>
        <item x="160"/>
        <item x="40"/>
        <item x="133"/>
        <item x="62"/>
        <item x="18"/>
        <item x="99"/>
        <item x="21"/>
        <item x="119"/>
        <item x="9"/>
        <item x="22"/>
        <item x="71"/>
        <item x="30"/>
        <item x="140"/>
        <item x="69"/>
        <item x="82"/>
        <item x="28"/>
        <item x="95"/>
        <item x="13"/>
        <item x="70"/>
        <item x="139"/>
        <item x="112"/>
        <item x="73"/>
        <item x="26"/>
        <item x="126"/>
        <item x="0"/>
        <item x="128"/>
        <item x="111"/>
        <item x="10"/>
        <item x="151"/>
        <item x="107"/>
        <item x="34"/>
        <item x="124"/>
        <item x="35"/>
        <item x="117"/>
        <item x="41"/>
        <item x="8"/>
        <item x="129"/>
        <item x="23"/>
        <item x="78"/>
        <item x="109"/>
        <item x="110"/>
        <item x="102"/>
        <item x="60"/>
        <item x="37"/>
        <item x="106"/>
        <item x="157"/>
        <item x="63"/>
        <item x="152"/>
        <item x="94"/>
        <item x="134"/>
        <item x="116"/>
        <item x="153"/>
        <item x="148"/>
        <item x="81"/>
        <item x="76"/>
        <item x="80"/>
        <item x="29"/>
        <item x="65"/>
        <item x="146"/>
        <item x="159"/>
        <item x="12"/>
        <item x="88"/>
        <item x="136"/>
        <item x="141"/>
        <item x="24"/>
        <item x="143"/>
        <item x="154"/>
        <item x="145"/>
        <item x="31"/>
        <item x="92"/>
        <item x="57"/>
        <item x="90"/>
        <item x="132"/>
        <item x="39"/>
        <item x="25"/>
        <item x="48"/>
        <item x="123"/>
        <item x="96"/>
        <item x="17"/>
        <item x="47"/>
        <item x="27"/>
        <item x="53"/>
        <item x="105"/>
        <item x="32"/>
        <item x="142"/>
        <item x="2"/>
        <item x="3"/>
        <item x="114"/>
        <item x="131"/>
        <item x="51"/>
        <item x="72"/>
        <item x="144"/>
        <item x="125"/>
        <item x="36"/>
        <item x="79"/>
        <item x="50"/>
        <item x="66"/>
        <item x="121"/>
        <item x="108"/>
        <item x="61"/>
        <item x="43"/>
        <item x="122"/>
        <item x="11"/>
        <item x="127"/>
        <item x="15"/>
        <item x="93"/>
        <item x="83"/>
        <item x="155"/>
        <item x="120"/>
        <item x="135"/>
        <item x="98"/>
        <item x="16"/>
        <item x="67"/>
        <item x="147"/>
        <item x="7"/>
        <item x="59"/>
        <item x="75"/>
        <item x="113"/>
        <item x="42"/>
        <item x="45"/>
        <item x="16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63">
    <i>
      <x v="122"/>
    </i>
    <i>
      <x v="96"/>
    </i>
    <i>
      <x v="110"/>
    </i>
    <i>
      <x v="9"/>
    </i>
    <i>
      <x v="25"/>
    </i>
    <i>
      <x v="37"/>
    </i>
    <i>
      <x v="87"/>
    </i>
    <i>
      <x v="6"/>
    </i>
    <i>
      <x v="94"/>
    </i>
    <i>
      <x v="58"/>
    </i>
    <i>
      <x v="32"/>
    </i>
    <i>
      <x v="81"/>
    </i>
    <i>
      <x v="131"/>
    </i>
    <i>
      <x v="46"/>
    </i>
    <i>
      <x v="93"/>
    </i>
    <i>
      <x v="120"/>
    </i>
    <i>
      <x v="102"/>
    </i>
    <i>
      <x v="35"/>
    </i>
    <i>
      <x v="23"/>
    </i>
    <i>
      <x v="14"/>
    </i>
    <i>
      <x v="8"/>
    </i>
    <i>
      <x v="39"/>
    </i>
    <i>
      <x v="113"/>
    </i>
    <i>
      <x v="44"/>
    </i>
    <i>
      <x v="126"/>
    </i>
    <i>
      <x v="18"/>
    </i>
    <i>
      <x v="91"/>
    </i>
    <i>
      <x v="137"/>
    </i>
    <i>
      <x v="24"/>
    </i>
    <i>
      <x v="153"/>
    </i>
    <i>
      <x v="99"/>
    </i>
    <i>
      <x v="21"/>
    </i>
    <i>
      <x v="29"/>
    </i>
    <i>
      <x v="160"/>
    </i>
    <i>
      <x v="115"/>
    </i>
    <i>
      <x v="22"/>
    </i>
    <i>
      <x v="2"/>
    </i>
    <i>
      <x v="83"/>
    </i>
    <i>
      <x v="34"/>
    </i>
    <i>
      <x v="86"/>
    </i>
    <i>
      <x v="141"/>
    </i>
    <i>
      <x v="47"/>
    </i>
    <i>
      <x v="157"/>
    </i>
    <i>
      <x v="56"/>
    </i>
    <i>
      <x v="79"/>
    </i>
    <i>
      <x v="108"/>
    </i>
    <i>
      <x v="140"/>
    </i>
    <i>
      <x v="124"/>
    </i>
    <i>
      <x v="19"/>
    </i>
    <i>
      <x v="156"/>
    </i>
    <i>
      <x v="20"/>
    </i>
    <i>
      <x v="116"/>
    </i>
    <i>
      <x v="48"/>
    </i>
    <i>
      <x v="132"/>
    </i>
    <i>
      <x v="49"/>
    </i>
    <i>
      <x v="148"/>
    </i>
    <i>
      <x v="50"/>
    </i>
    <i>
      <x v="104"/>
    </i>
    <i>
      <x v="51"/>
    </i>
    <i>
      <x v="112"/>
    </i>
    <i>
      <x v="52"/>
    </i>
    <i>
      <x v="16"/>
    </i>
    <i>
      <x v="53"/>
    </i>
    <i>
      <x v="128"/>
    </i>
    <i>
      <x v="54"/>
    </i>
    <i>
      <x v="136"/>
    </i>
    <i>
      <x v="55"/>
    </i>
    <i>
      <x v="144"/>
    </i>
    <i>
      <x v="7"/>
    </i>
    <i>
      <x v="152"/>
    </i>
    <i>
      <x v="57"/>
    </i>
    <i>
      <x v="45"/>
    </i>
    <i>
      <x v="3"/>
    </i>
    <i>
      <x v="106"/>
    </i>
    <i>
      <x v="59"/>
    </i>
    <i>
      <x v="5"/>
    </i>
    <i>
      <x v="60"/>
    </i>
    <i>
      <x v="114"/>
    </i>
    <i>
      <x v="61"/>
    </i>
    <i>
      <x v="118"/>
    </i>
    <i>
      <x v="62"/>
    </i>
    <i>
      <x v="38"/>
    </i>
    <i>
      <x v="63"/>
    </i>
    <i>
      <x v="17"/>
    </i>
    <i>
      <x v="64"/>
    </i>
    <i>
      <x v="130"/>
    </i>
    <i>
      <x v="65"/>
    </i>
    <i>
      <x v="134"/>
    </i>
    <i>
      <x v="66"/>
    </i>
    <i>
      <x v="138"/>
    </i>
    <i>
      <x v="67"/>
    </i>
    <i>
      <x v="142"/>
    </i>
    <i>
      <x v="68"/>
    </i>
    <i>
      <x v="146"/>
    </i>
    <i>
      <x v="69"/>
    </i>
    <i>
      <x v="150"/>
    </i>
    <i>
      <x v="70"/>
    </i>
    <i>
      <x v="154"/>
    </i>
    <i>
      <x v="71"/>
    </i>
    <i>
      <x v="158"/>
    </i>
    <i>
      <x v="72"/>
    </i>
    <i>
      <x v="103"/>
    </i>
    <i>
      <x v="73"/>
    </i>
    <i>
      <x v="105"/>
    </i>
    <i>
      <x v="74"/>
    </i>
    <i>
      <x v="107"/>
    </i>
    <i>
      <x v="75"/>
    </i>
    <i>
      <x v="109"/>
    </i>
    <i>
      <x v="76"/>
    </i>
    <i>
      <x v="111"/>
    </i>
    <i>
      <x v="77"/>
    </i>
    <i>
      <x v="15"/>
    </i>
    <i>
      <x v="78"/>
    </i>
    <i>
      <x v="36"/>
    </i>
    <i>
      <x v="4"/>
    </i>
    <i>
      <x v="117"/>
    </i>
    <i>
      <x/>
    </i>
    <i>
      <x v="119"/>
    </i>
    <i>
      <x v="10"/>
    </i>
    <i>
      <x v="121"/>
    </i>
    <i>
      <x v="82"/>
    </i>
    <i>
      <x v="123"/>
    </i>
    <i>
      <x v="11"/>
    </i>
    <i>
      <x v="125"/>
    </i>
    <i>
      <x v="84"/>
    </i>
    <i>
      <x v="127"/>
    </i>
    <i>
      <x v="85"/>
    </i>
    <i>
      <x v="129"/>
    </i>
    <i>
      <x v="26"/>
    </i>
    <i>
      <x v="40"/>
    </i>
    <i>
      <x v="27"/>
    </i>
    <i>
      <x v="133"/>
    </i>
    <i>
      <x v="88"/>
    </i>
    <i>
      <x v="135"/>
    </i>
    <i>
      <x v="89"/>
    </i>
    <i>
      <x v="41"/>
    </i>
    <i>
      <x v="90"/>
    </i>
    <i>
      <x v="139"/>
    </i>
    <i>
      <x v="28"/>
    </i>
    <i>
      <x v="42"/>
    </i>
    <i>
      <x v="92"/>
    </i>
    <i>
      <x v="143"/>
    </i>
    <i>
      <x v="12"/>
    </i>
    <i>
      <x v="145"/>
    </i>
    <i>
      <x v="30"/>
    </i>
    <i>
      <x v="147"/>
    </i>
    <i>
      <x v="95"/>
    </i>
    <i>
      <x v="149"/>
    </i>
    <i>
      <x v="31"/>
    </i>
    <i>
      <x v="151"/>
    </i>
    <i>
      <x v="97"/>
    </i>
    <i>
      <x v="43"/>
    </i>
    <i>
      <x v="98"/>
    </i>
    <i>
      <x v="155"/>
    </i>
    <i>
      <x v="13"/>
    </i>
    <i>
      <x v="1"/>
    </i>
    <i>
      <x v="100"/>
    </i>
    <i>
      <x v="159"/>
    </i>
    <i>
      <x v="101"/>
    </i>
    <i>
      <x v="33"/>
    </i>
    <i>
      <x v="80"/>
    </i>
    <i>
      <x v="161"/>
    </i>
    <i t="grand">
      <x/>
    </i>
  </rowItems>
  <colItems count="1">
    <i/>
  </colItems>
  <dataFields count="1">
    <dataField name="Count of STOCK 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2BA44D-FD19-456E-8994-8CEB091C28D1}" name="Table3" displayName="Table3" ref="A3:M9" totalsRowShown="0">
  <autoFilter ref="A3:M9" xr:uid="{012BA44D-FD19-456E-8994-8CEB091C28D1}"/>
  <tableColumns count="13">
    <tableColumn id="1" xr3:uid="{43186A7E-C90F-4122-810F-22663576FFF9}" name="S No."/>
    <tableColumn id="2" xr3:uid="{9E323C2A-23E3-447D-8702-221DCB1A0BEC}" name="STOCK NAME"/>
    <tableColumn id="3" xr3:uid="{55604429-F8A2-4F2D-BDD7-399C94E5388B}" name="Idea Type"/>
    <tableColumn id="4" xr3:uid="{4135904D-56D6-4748-AB35-F71A97B8FA7A}" name="Day when told" dataDxfId="2"/>
    <tableColumn id="5" xr3:uid="{2E9979B2-5DEC-447C-9C89-2177954761BC}" name="Current price"/>
    <tableColumn id="6" xr3:uid="{0DC67F4B-AFFC-49DF-90DE-D84E4BF50859}" name="Target price"/>
    <tableColumn id="7" xr3:uid="{A908147A-56D4-408F-A231-990FCE82EB5F}" name="Stop loss"/>
    <tableColumn id="8" xr3:uid="{6D36C763-7002-4C84-902E-E4FDCEA94D59}" name="Today's closing price"/>
    <tableColumn id="9" xr3:uid="{EAB1D0A6-0EBA-455C-8C8B-B533C7894850}" name="Excepted Return"/>
    <tableColumn id="10" xr3:uid="{25FB9772-421B-4EBB-9A9D-85230BFFBDDD}" name="Result date"/>
    <tableColumn id="11" xr3:uid="{01057117-E91F-4EB2-ADD5-FD44AF602DE0}" name="Result price"/>
    <tableColumn id="12" xr3:uid="{0C96BBF1-1908-4173-B5AC-26CE3D243D88}" name="Profit / loss"/>
    <tableColumn id="13" xr3:uid="{16E92107-CD35-4EDB-ADD8-21340A9856BE}" name="Quant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23D4A2-E219-4595-97A7-3D622858921E}" name="Table4" displayName="Table4" ref="A3:M8" totalsRowShown="0">
  <autoFilter ref="A3:M8" xr:uid="{4F23D4A2-E219-4595-97A7-3D622858921E}"/>
  <tableColumns count="13">
    <tableColumn id="1" xr3:uid="{0FE28B3C-3AB7-4BE0-B7AC-96CF9B2747F0}" name="S No."/>
    <tableColumn id="2" xr3:uid="{D2527260-1F3C-440C-939F-D930DA527821}" name="STOCK NAME"/>
    <tableColumn id="3" xr3:uid="{8246E459-5157-451A-9FAC-31083D1345B1}" name="Idea Type"/>
    <tableColumn id="4" xr3:uid="{93C55762-0F03-414D-99E0-97ACF4FA7DFA}" name="Day when told" dataDxfId="1"/>
    <tableColumn id="5" xr3:uid="{81ED39E5-3493-4493-A78C-D6A5ABA57C26}" name="Current price"/>
    <tableColumn id="6" xr3:uid="{59D9B7EF-FECD-4742-B24A-99448EFCDD93}" name="Target price"/>
    <tableColumn id="7" xr3:uid="{883CF9A4-9A9F-44D0-A8AC-EA38AA47F33F}" name="Stop loss"/>
    <tableColumn id="8" xr3:uid="{480A2A42-7EBD-4EE5-A137-FA395FF0962B}" name="Today's closing price"/>
    <tableColumn id="9" xr3:uid="{D436F3A3-F816-4C6A-B278-E2DCF6EB1F19}" name="Excepted Return"/>
    <tableColumn id="10" xr3:uid="{DCA6DCB5-F89C-469E-BE76-3B10D4F6E7AA}" name="Result date"/>
    <tableColumn id="11" xr3:uid="{0A7CA827-D7BE-4982-A95F-726F04100A7D}" name="Result price"/>
    <tableColumn id="12" xr3:uid="{B78849C4-545E-4814-99FE-21D92214D909}" name="Profit / loss"/>
    <tableColumn id="13" xr3:uid="{78370884-AB59-4D5D-BEE9-4E9E21AF96C6}" name="Qua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A6A4C92-6939-48A2-A771-E51EA74827A4}" name="Table5" displayName="Table5" ref="A3:M9" totalsRowShown="0">
  <autoFilter ref="A3:M9" xr:uid="{5A6A4C92-6939-48A2-A771-E51EA74827A4}"/>
  <tableColumns count="13">
    <tableColumn id="1" xr3:uid="{8B8B8DD6-708D-4C5F-B37B-B81570DCF4EE}" name="S No."/>
    <tableColumn id="2" xr3:uid="{02B44AF0-C8B8-48A3-8BB8-4299339D9C30}" name="STOCK NAME"/>
    <tableColumn id="3" xr3:uid="{93865396-7357-48D6-82DA-869641B7D9FB}" name="Idea Type"/>
    <tableColumn id="4" xr3:uid="{7C72EDB9-51D0-4BAE-BA7C-B7C9EA3DCD3F}" name="Day when told" dataDxfId="0"/>
    <tableColumn id="5" xr3:uid="{186B6608-DC2A-4C46-BF5D-69530C91A937}" name="Current price"/>
    <tableColumn id="6" xr3:uid="{F01039C9-4762-4B7A-9F5B-620F3F465693}" name="Target price"/>
    <tableColumn id="7" xr3:uid="{F60B2394-8080-4885-AA7D-24D499FE396D}" name="Stop loss"/>
    <tableColumn id="8" xr3:uid="{73C71EC9-B707-4445-913E-910F3A3E16D1}" name="Today's closing price"/>
    <tableColumn id="9" xr3:uid="{D2596BDD-391B-47E3-96E5-C11082C05006}" name="Excepted Return"/>
    <tableColumn id="10" xr3:uid="{86C126BE-2002-48B1-BF3F-85925CDE77B9}" name="Result date"/>
    <tableColumn id="11" xr3:uid="{C06C22A1-8FA1-4452-9C45-DE71A0028961}" name="Result price"/>
    <tableColumn id="12" xr3:uid="{C003D1BD-8BA9-4CE1-A24A-8661B9B5B63F}" name="Profit / loss"/>
    <tableColumn id="13" xr3:uid="{4FFF52D2-7661-41F1-A81E-1DAEFC8FD409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6E42A-E92A-443D-9B5C-F1BC0A1C232C}">
  <dimension ref="A1:M9"/>
  <sheetViews>
    <sheetView workbookViewId="0">
      <selection activeCell="F7" sqref="F7"/>
    </sheetView>
  </sheetViews>
  <sheetFormatPr defaultRowHeight="14.5" x14ac:dyDescent="0.35"/>
  <cols>
    <col min="1" max="1" width="8.81640625" bestFit="1" customWidth="1"/>
    <col min="2" max="2" width="14.90625" bestFit="1" customWidth="1"/>
    <col min="3" max="3" width="11.08984375" bestFit="1" customWidth="1"/>
    <col min="4" max="4" width="14.81640625" bestFit="1" customWidth="1"/>
    <col min="5" max="5" width="14.08984375" bestFit="1" customWidth="1"/>
    <col min="6" max="6" width="12.81640625" bestFit="1" customWidth="1"/>
    <col min="7" max="7" width="10.6328125" bestFit="1" customWidth="1"/>
    <col min="8" max="8" width="20.54296875" bestFit="1" customWidth="1"/>
    <col min="9" max="9" width="16.90625" bestFit="1" customWidth="1"/>
    <col min="10" max="10" width="12.54296875" bestFit="1" customWidth="1"/>
    <col min="11" max="11" width="13.08984375" bestFit="1" customWidth="1"/>
    <col min="12" max="12" width="12.453125" bestFit="1" customWidth="1"/>
    <col min="13" max="13" width="10.26953125" bestFit="1" customWidth="1"/>
  </cols>
  <sheetData>
    <row r="1" spans="1:13" x14ac:dyDescent="0.35">
      <c r="A1" s="5" t="s">
        <v>199</v>
      </c>
    </row>
    <row r="3" spans="1:13" x14ac:dyDescent="0.35">
      <c r="A3" t="s">
        <v>0</v>
      </c>
      <c r="B3" t="s">
        <v>109</v>
      </c>
      <c r="C3" t="s">
        <v>122</v>
      </c>
      <c r="D3" t="s">
        <v>1</v>
      </c>
      <c r="E3" t="s">
        <v>2</v>
      </c>
      <c r="F3" t="s">
        <v>3</v>
      </c>
      <c r="G3" t="s">
        <v>4</v>
      </c>
      <c r="H3" t="s">
        <v>34</v>
      </c>
      <c r="I3" t="s">
        <v>39</v>
      </c>
      <c r="J3" t="s">
        <v>5</v>
      </c>
      <c r="K3" t="s">
        <v>6</v>
      </c>
      <c r="L3" t="s">
        <v>7</v>
      </c>
      <c r="M3" t="s">
        <v>38</v>
      </c>
    </row>
    <row r="4" spans="1:13" x14ac:dyDescent="0.35">
      <c r="A4">
        <v>220</v>
      </c>
      <c r="B4" t="s">
        <v>84</v>
      </c>
      <c r="C4" t="s">
        <v>124</v>
      </c>
      <c r="D4" s="1">
        <v>46233</v>
      </c>
      <c r="E4">
        <v>4327</v>
      </c>
      <c r="F4">
        <v>5250</v>
      </c>
      <c r="G4">
        <v>3870</v>
      </c>
    </row>
    <row r="5" spans="1:13" x14ac:dyDescent="0.35">
      <c r="A5">
        <v>219</v>
      </c>
      <c r="B5" t="s">
        <v>84</v>
      </c>
      <c r="C5" t="s">
        <v>124</v>
      </c>
      <c r="D5" s="1">
        <v>46232</v>
      </c>
      <c r="E5">
        <v>4327</v>
      </c>
      <c r="F5">
        <v>5250</v>
      </c>
      <c r="G5">
        <v>3870</v>
      </c>
    </row>
    <row r="6" spans="1:13" x14ac:dyDescent="0.35">
      <c r="A6">
        <v>91</v>
      </c>
      <c r="B6" t="s">
        <v>84</v>
      </c>
      <c r="D6" s="1">
        <v>46198</v>
      </c>
      <c r="E6">
        <v>3653</v>
      </c>
      <c r="F6">
        <v>4100</v>
      </c>
      <c r="G6">
        <v>3415</v>
      </c>
    </row>
    <row r="7" spans="1:13" x14ac:dyDescent="0.35">
      <c r="A7">
        <v>83</v>
      </c>
      <c r="B7" t="s">
        <v>84</v>
      </c>
      <c r="D7" s="1">
        <v>46196</v>
      </c>
      <c r="E7">
        <v>3653</v>
      </c>
      <c r="F7">
        <v>4100</v>
      </c>
      <c r="G7">
        <v>3415</v>
      </c>
    </row>
    <row r="8" spans="1:13" x14ac:dyDescent="0.35">
      <c r="A8">
        <v>71</v>
      </c>
      <c r="B8" t="s">
        <v>84</v>
      </c>
      <c r="D8" s="1">
        <v>46195</v>
      </c>
      <c r="E8">
        <v>3653</v>
      </c>
      <c r="F8">
        <v>4100</v>
      </c>
      <c r="G8">
        <v>3415</v>
      </c>
    </row>
    <row r="9" spans="1:13" x14ac:dyDescent="0.35">
      <c r="A9">
        <v>64</v>
      </c>
      <c r="B9" t="s">
        <v>84</v>
      </c>
      <c r="D9" s="1">
        <v>46192</v>
      </c>
      <c r="E9">
        <v>3653</v>
      </c>
      <c r="F9">
        <v>4100</v>
      </c>
      <c r="G9">
        <v>3415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3E8C1-54DE-419D-A5FC-30A2C35F3589}">
  <dimension ref="A1:M8"/>
  <sheetViews>
    <sheetView workbookViewId="0">
      <selection activeCell="A3" sqref="A3:M8"/>
    </sheetView>
  </sheetViews>
  <sheetFormatPr defaultRowHeight="14.5" x14ac:dyDescent="0.35"/>
  <cols>
    <col min="1" max="1" width="8.81640625" bestFit="1" customWidth="1"/>
    <col min="2" max="2" width="16.08984375" bestFit="1" customWidth="1"/>
    <col min="3" max="3" width="11.08984375" bestFit="1" customWidth="1"/>
    <col min="4" max="4" width="14.81640625" bestFit="1" customWidth="1"/>
    <col min="5" max="5" width="14.08984375" bestFit="1" customWidth="1"/>
    <col min="6" max="6" width="12.81640625" bestFit="1" customWidth="1"/>
    <col min="7" max="7" width="10.6328125" bestFit="1" customWidth="1"/>
    <col min="8" max="8" width="20.54296875" bestFit="1" customWidth="1"/>
    <col min="9" max="9" width="16.90625" bestFit="1" customWidth="1"/>
    <col min="10" max="10" width="12.54296875" bestFit="1" customWidth="1"/>
    <col min="11" max="11" width="13.08984375" bestFit="1" customWidth="1"/>
    <col min="12" max="12" width="12.453125" bestFit="1" customWidth="1"/>
    <col min="13" max="13" width="10.26953125" bestFit="1" customWidth="1"/>
  </cols>
  <sheetData>
    <row r="1" spans="1:13" x14ac:dyDescent="0.35">
      <c r="A1" s="5" t="s">
        <v>201</v>
      </c>
    </row>
    <row r="3" spans="1:13" x14ac:dyDescent="0.35">
      <c r="A3" t="s">
        <v>0</v>
      </c>
      <c r="B3" t="s">
        <v>109</v>
      </c>
      <c r="C3" t="s">
        <v>122</v>
      </c>
      <c r="D3" t="s">
        <v>1</v>
      </c>
      <c r="E3" t="s">
        <v>2</v>
      </c>
      <c r="F3" t="s">
        <v>3</v>
      </c>
      <c r="G3" t="s">
        <v>4</v>
      </c>
      <c r="H3" t="s">
        <v>34</v>
      </c>
      <c r="I3" t="s">
        <v>39</v>
      </c>
      <c r="J3" t="s">
        <v>5</v>
      </c>
      <c r="K3" t="s">
        <v>6</v>
      </c>
      <c r="L3" t="s">
        <v>7</v>
      </c>
      <c r="M3" t="s">
        <v>38</v>
      </c>
    </row>
    <row r="4" spans="1:13" x14ac:dyDescent="0.35">
      <c r="A4">
        <v>211</v>
      </c>
      <c r="B4" t="s">
        <v>115</v>
      </c>
      <c r="C4" t="s">
        <v>124</v>
      </c>
      <c r="D4" s="1">
        <v>46231</v>
      </c>
      <c r="E4">
        <v>1132</v>
      </c>
      <c r="F4">
        <v>1329</v>
      </c>
      <c r="G4">
        <v>1035</v>
      </c>
    </row>
    <row r="5" spans="1:13" x14ac:dyDescent="0.35">
      <c r="A5">
        <v>204</v>
      </c>
      <c r="B5" t="s">
        <v>115</v>
      </c>
      <c r="D5" s="1">
        <v>46230</v>
      </c>
      <c r="E5">
        <v>1132</v>
      </c>
      <c r="F5">
        <v>1329</v>
      </c>
      <c r="G5">
        <v>1035</v>
      </c>
    </row>
    <row r="6" spans="1:13" x14ac:dyDescent="0.35">
      <c r="A6">
        <v>196</v>
      </c>
      <c r="B6" t="s">
        <v>115</v>
      </c>
      <c r="D6" s="1">
        <v>46227</v>
      </c>
      <c r="E6">
        <v>1132</v>
      </c>
      <c r="F6">
        <v>1329</v>
      </c>
    </row>
    <row r="7" spans="1:13" x14ac:dyDescent="0.35">
      <c r="A7">
        <v>163</v>
      </c>
      <c r="B7" t="s">
        <v>115</v>
      </c>
      <c r="C7" t="s">
        <v>124</v>
      </c>
      <c r="D7" s="1">
        <v>46219</v>
      </c>
      <c r="E7">
        <v>1132</v>
      </c>
      <c r="F7">
        <v>1329</v>
      </c>
      <c r="G7">
        <v>1035</v>
      </c>
    </row>
    <row r="8" spans="1:13" x14ac:dyDescent="0.35">
      <c r="A8">
        <v>101</v>
      </c>
      <c r="B8" t="s">
        <v>115</v>
      </c>
      <c r="D8" s="1">
        <v>46202</v>
      </c>
      <c r="E8">
        <v>1132</v>
      </c>
      <c r="F8">
        <v>1329</v>
      </c>
      <c r="G8">
        <v>1035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F9F4D-91C6-479F-B89E-B10D15F43F9E}">
  <dimension ref="A1:M9"/>
  <sheetViews>
    <sheetView workbookViewId="0">
      <selection activeCell="E5" sqref="E5"/>
    </sheetView>
  </sheetViews>
  <sheetFormatPr defaultRowHeight="14.5" x14ac:dyDescent="0.35"/>
  <cols>
    <col min="1" max="1" width="8.81640625" bestFit="1" customWidth="1"/>
    <col min="2" max="2" width="14.90625" bestFit="1" customWidth="1"/>
    <col min="3" max="3" width="11.08984375" bestFit="1" customWidth="1"/>
    <col min="4" max="4" width="14.81640625" bestFit="1" customWidth="1"/>
    <col min="5" max="5" width="14.08984375" bestFit="1" customWidth="1"/>
    <col min="6" max="6" width="12.81640625" bestFit="1" customWidth="1"/>
    <col min="7" max="7" width="10.6328125" bestFit="1" customWidth="1"/>
    <col min="8" max="8" width="20.54296875" bestFit="1" customWidth="1"/>
    <col min="9" max="9" width="16.90625" bestFit="1" customWidth="1"/>
    <col min="10" max="10" width="12.54296875" bestFit="1" customWidth="1"/>
    <col min="11" max="11" width="13.08984375" bestFit="1" customWidth="1"/>
    <col min="12" max="12" width="12.453125" bestFit="1" customWidth="1"/>
    <col min="13" max="13" width="10.26953125" bestFit="1" customWidth="1"/>
  </cols>
  <sheetData>
    <row r="1" spans="1:13" x14ac:dyDescent="0.35">
      <c r="A1" s="5" t="s">
        <v>199</v>
      </c>
    </row>
    <row r="3" spans="1:13" x14ac:dyDescent="0.35">
      <c r="A3" t="s">
        <v>0</v>
      </c>
      <c r="B3" t="s">
        <v>109</v>
      </c>
      <c r="C3" t="s">
        <v>122</v>
      </c>
      <c r="D3" t="s">
        <v>1</v>
      </c>
      <c r="E3" t="s">
        <v>2</v>
      </c>
      <c r="F3" t="s">
        <v>3</v>
      </c>
      <c r="G3" t="s">
        <v>4</v>
      </c>
      <c r="H3" t="s">
        <v>34</v>
      </c>
      <c r="I3" t="s">
        <v>39</v>
      </c>
      <c r="J3" t="s">
        <v>5</v>
      </c>
      <c r="K3" t="s">
        <v>6</v>
      </c>
      <c r="L3" t="s">
        <v>7</v>
      </c>
      <c r="M3" t="s">
        <v>38</v>
      </c>
    </row>
    <row r="4" spans="1:13" x14ac:dyDescent="0.35">
      <c r="A4">
        <v>220</v>
      </c>
      <c r="B4" t="s">
        <v>84</v>
      </c>
      <c r="C4" t="s">
        <v>124</v>
      </c>
      <c r="D4" s="1">
        <v>46233</v>
      </c>
      <c r="E4">
        <v>4327</v>
      </c>
      <c r="F4">
        <v>5250</v>
      </c>
      <c r="G4">
        <v>3870</v>
      </c>
    </row>
    <row r="5" spans="1:13" x14ac:dyDescent="0.35">
      <c r="A5">
        <v>219</v>
      </c>
      <c r="B5" t="s">
        <v>84</v>
      </c>
      <c r="C5" t="s">
        <v>124</v>
      </c>
      <c r="D5" s="1">
        <v>46232</v>
      </c>
      <c r="E5">
        <v>4327</v>
      </c>
      <c r="F5">
        <v>5250</v>
      </c>
      <c r="G5">
        <v>3870</v>
      </c>
    </row>
    <row r="6" spans="1:13" x14ac:dyDescent="0.35">
      <c r="A6">
        <v>91</v>
      </c>
      <c r="B6" t="s">
        <v>84</v>
      </c>
      <c r="D6" s="1">
        <v>46198</v>
      </c>
      <c r="E6">
        <v>3653</v>
      </c>
      <c r="F6">
        <v>4100</v>
      </c>
      <c r="G6">
        <v>3415</v>
      </c>
    </row>
    <row r="7" spans="1:13" x14ac:dyDescent="0.35">
      <c r="A7">
        <v>83</v>
      </c>
      <c r="B7" t="s">
        <v>84</v>
      </c>
      <c r="D7" s="1">
        <v>46196</v>
      </c>
      <c r="E7">
        <v>3653</v>
      </c>
      <c r="F7">
        <v>4100</v>
      </c>
      <c r="G7">
        <v>3415</v>
      </c>
    </row>
    <row r="8" spans="1:13" x14ac:dyDescent="0.35">
      <c r="A8">
        <v>71</v>
      </c>
      <c r="B8" t="s">
        <v>84</v>
      </c>
      <c r="D8" s="1">
        <v>46195</v>
      </c>
      <c r="E8">
        <v>3653</v>
      </c>
      <c r="F8">
        <v>4100</v>
      </c>
      <c r="G8">
        <v>3415</v>
      </c>
    </row>
    <row r="9" spans="1:13" x14ac:dyDescent="0.35">
      <c r="A9">
        <v>64</v>
      </c>
      <c r="B9" t="s">
        <v>84</v>
      </c>
      <c r="D9" s="1">
        <v>46192</v>
      </c>
      <c r="E9">
        <v>3653</v>
      </c>
      <c r="F9">
        <v>4100</v>
      </c>
      <c r="G9">
        <v>3415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5D7B-C3CB-4AE7-AC3A-204E7E48E5DE}">
  <dimension ref="A3:B166"/>
  <sheetViews>
    <sheetView workbookViewId="0">
      <selection activeCell="B4" sqref="B4"/>
    </sheetView>
  </sheetViews>
  <sheetFormatPr defaultRowHeight="14.5" x14ac:dyDescent="0.35"/>
  <cols>
    <col min="1" max="1" width="39.90625" bestFit="1" customWidth="1"/>
    <col min="2" max="2" width="19.26953125" bestFit="1" customWidth="1"/>
  </cols>
  <sheetData>
    <row r="3" spans="1:2" x14ac:dyDescent="0.35">
      <c r="A3" s="3" t="s">
        <v>50</v>
      </c>
      <c r="B3" t="s">
        <v>187</v>
      </c>
    </row>
    <row r="4" spans="1:2" x14ac:dyDescent="0.35">
      <c r="A4" s="4" t="s">
        <v>84</v>
      </c>
      <c r="B4">
        <v>6</v>
      </c>
    </row>
    <row r="5" spans="1:2" x14ac:dyDescent="0.35">
      <c r="A5" s="4" t="s">
        <v>115</v>
      </c>
      <c r="B5">
        <v>5</v>
      </c>
    </row>
    <row r="6" spans="1:2" x14ac:dyDescent="0.35">
      <c r="A6" s="4" t="s">
        <v>42</v>
      </c>
      <c r="B6">
        <v>4</v>
      </c>
    </row>
    <row r="7" spans="1:2" x14ac:dyDescent="0.35">
      <c r="A7" s="4" t="s">
        <v>52</v>
      </c>
      <c r="B7">
        <v>4</v>
      </c>
    </row>
    <row r="8" spans="1:2" x14ac:dyDescent="0.35">
      <c r="A8" s="4" t="s">
        <v>110</v>
      </c>
      <c r="B8">
        <v>4</v>
      </c>
    </row>
    <row r="9" spans="1:2" x14ac:dyDescent="0.35">
      <c r="A9" s="4" t="s">
        <v>55</v>
      </c>
      <c r="B9">
        <v>4</v>
      </c>
    </row>
    <row r="10" spans="1:2" x14ac:dyDescent="0.35">
      <c r="A10" s="4" t="s">
        <v>33</v>
      </c>
      <c r="B10">
        <v>3</v>
      </c>
    </row>
    <row r="11" spans="1:2" x14ac:dyDescent="0.35">
      <c r="A11" s="4" t="s">
        <v>62</v>
      </c>
      <c r="B11">
        <v>3</v>
      </c>
    </row>
    <row r="12" spans="1:2" x14ac:dyDescent="0.35">
      <c r="A12" s="4" t="s">
        <v>100</v>
      </c>
      <c r="B12">
        <v>3</v>
      </c>
    </row>
    <row r="13" spans="1:2" x14ac:dyDescent="0.35">
      <c r="A13" s="4" t="s">
        <v>61</v>
      </c>
      <c r="B13">
        <v>3</v>
      </c>
    </row>
    <row r="14" spans="1:2" x14ac:dyDescent="0.35">
      <c r="A14" s="4" t="s">
        <v>9</v>
      </c>
      <c r="B14">
        <v>3</v>
      </c>
    </row>
    <row r="15" spans="1:2" x14ac:dyDescent="0.35">
      <c r="A15" s="4" t="s">
        <v>138</v>
      </c>
      <c r="B15">
        <v>3</v>
      </c>
    </row>
    <row r="16" spans="1:2" x14ac:dyDescent="0.35">
      <c r="A16" s="4" t="s">
        <v>93</v>
      </c>
      <c r="B16">
        <v>3</v>
      </c>
    </row>
    <row r="17" spans="1:2" x14ac:dyDescent="0.35">
      <c r="A17" s="4" t="s">
        <v>120</v>
      </c>
      <c r="B17">
        <v>3</v>
      </c>
    </row>
    <row r="18" spans="1:2" x14ac:dyDescent="0.35">
      <c r="A18" s="4" t="s">
        <v>180</v>
      </c>
      <c r="B18">
        <v>2</v>
      </c>
    </row>
    <row r="19" spans="1:2" x14ac:dyDescent="0.35">
      <c r="A19" s="4" t="s">
        <v>23</v>
      </c>
      <c r="B19">
        <v>2</v>
      </c>
    </row>
    <row r="20" spans="1:2" x14ac:dyDescent="0.35">
      <c r="A20" s="4" t="s">
        <v>106</v>
      </c>
      <c r="B20">
        <v>2</v>
      </c>
    </row>
    <row r="21" spans="1:2" x14ac:dyDescent="0.35">
      <c r="A21" s="4" t="s">
        <v>168</v>
      </c>
      <c r="B21">
        <v>2</v>
      </c>
    </row>
    <row r="22" spans="1:2" x14ac:dyDescent="0.35">
      <c r="A22" s="4" t="s">
        <v>74</v>
      </c>
      <c r="B22">
        <v>2</v>
      </c>
    </row>
    <row r="23" spans="1:2" x14ac:dyDescent="0.35">
      <c r="A23" s="4" t="s">
        <v>85</v>
      </c>
      <c r="B23">
        <v>2</v>
      </c>
    </row>
    <row r="24" spans="1:2" x14ac:dyDescent="0.35">
      <c r="A24" s="4" t="s">
        <v>103</v>
      </c>
      <c r="B24">
        <v>2</v>
      </c>
    </row>
    <row r="25" spans="1:2" x14ac:dyDescent="0.35">
      <c r="A25" s="4" t="s">
        <v>89</v>
      </c>
      <c r="B25">
        <v>2</v>
      </c>
    </row>
    <row r="26" spans="1:2" x14ac:dyDescent="0.35">
      <c r="A26" s="4" t="s">
        <v>163</v>
      </c>
      <c r="B26">
        <v>2</v>
      </c>
    </row>
    <row r="27" spans="1:2" x14ac:dyDescent="0.35">
      <c r="A27" s="4" t="s">
        <v>32</v>
      </c>
      <c r="B27">
        <v>2</v>
      </c>
    </row>
    <row r="28" spans="1:2" x14ac:dyDescent="0.35">
      <c r="A28" s="4" t="s">
        <v>111</v>
      </c>
      <c r="B28">
        <v>2</v>
      </c>
    </row>
    <row r="29" spans="1:2" x14ac:dyDescent="0.35">
      <c r="A29" s="4" t="s">
        <v>12</v>
      </c>
      <c r="B29">
        <v>2</v>
      </c>
    </row>
    <row r="30" spans="1:2" x14ac:dyDescent="0.35">
      <c r="A30" s="4" t="s">
        <v>146</v>
      </c>
      <c r="B30">
        <v>2</v>
      </c>
    </row>
    <row r="31" spans="1:2" x14ac:dyDescent="0.35">
      <c r="A31" s="4" t="s">
        <v>37</v>
      </c>
      <c r="B31">
        <v>2</v>
      </c>
    </row>
    <row r="32" spans="1:2" x14ac:dyDescent="0.35">
      <c r="A32" s="4" t="s">
        <v>82</v>
      </c>
      <c r="B32">
        <v>2</v>
      </c>
    </row>
    <row r="33" spans="1:2" x14ac:dyDescent="0.35">
      <c r="A33" s="4" t="s">
        <v>88</v>
      </c>
      <c r="B33">
        <v>2</v>
      </c>
    </row>
    <row r="34" spans="1:2" x14ac:dyDescent="0.35">
      <c r="A34" s="4" t="s">
        <v>178</v>
      </c>
      <c r="B34">
        <v>2</v>
      </c>
    </row>
    <row r="35" spans="1:2" x14ac:dyDescent="0.35">
      <c r="A35" s="4" t="s">
        <v>105</v>
      </c>
      <c r="B35">
        <v>2</v>
      </c>
    </row>
    <row r="36" spans="1:2" x14ac:dyDescent="0.35">
      <c r="A36" s="4" t="s">
        <v>112</v>
      </c>
      <c r="B36">
        <v>2</v>
      </c>
    </row>
    <row r="37" spans="1:2" x14ac:dyDescent="0.35">
      <c r="A37" s="4" t="s">
        <v>81</v>
      </c>
      <c r="B37">
        <v>2</v>
      </c>
    </row>
    <row r="38" spans="1:2" x14ac:dyDescent="0.35">
      <c r="A38" s="4" t="s">
        <v>70</v>
      </c>
      <c r="B38">
        <v>2</v>
      </c>
    </row>
    <row r="39" spans="1:2" x14ac:dyDescent="0.35">
      <c r="A39" s="4" t="s">
        <v>80</v>
      </c>
      <c r="B39">
        <v>2</v>
      </c>
    </row>
    <row r="40" spans="1:2" x14ac:dyDescent="0.35">
      <c r="A40" s="4" t="s">
        <v>22</v>
      </c>
      <c r="B40">
        <v>2</v>
      </c>
    </row>
    <row r="41" spans="1:2" x14ac:dyDescent="0.35">
      <c r="A41" s="4" t="s">
        <v>87</v>
      </c>
      <c r="B41">
        <v>2</v>
      </c>
    </row>
    <row r="42" spans="1:2" x14ac:dyDescent="0.35">
      <c r="A42" s="4" t="s">
        <v>54</v>
      </c>
      <c r="B42">
        <v>2</v>
      </c>
    </row>
    <row r="43" spans="1:2" x14ac:dyDescent="0.35">
      <c r="A43" s="4" t="s">
        <v>190</v>
      </c>
      <c r="B43">
        <v>2</v>
      </c>
    </row>
    <row r="44" spans="1:2" x14ac:dyDescent="0.35">
      <c r="A44" s="4" t="s">
        <v>21</v>
      </c>
      <c r="B44">
        <v>2</v>
      </c>
    </row>
    <row r="45" spans="1:2" x14ac:dyDescent="0.35">
      <c r="A45" s="4" t="s">
        <v>67</v>
      </c>
      <c r="B45">
        <v>2</v>
      </c>
    </row>
    <row r="46" spans="1:2" x14ac:dyDescent="0.35">
      <c r="A46" s="4" t="s">
        <v>116</v>
      </c>
      <c r="B46">
        <v>2</v>
      </c>
    </row>
    <row r="47" spans="1:2" x14ac:dyDescent="0.35">
      <c r="A47" s="4" t="s">
        <v>113</v>
      </c>
      <c r="B47">
        <v>2</v>
      </c>
    </row>
    <row r="48" spans="1:2" x14ac:dyDescent="0.35">
      <c r="A48" s="4" t="s">
        <v>98</v>
      </c>
      <c r="B48">
        <v>2</v>
      </c>
    </row>
    <row r="49" spans="1:2" x14ac:dyDescent="0.35">
      <c r="A49" s="4" t="s">
        <v>177</v>
      </c>
      <c r="B49">
        <v>1</v>
      </c>
    </row>
    <row r="50" spans="1:2" x14ac:dyDescent="0.35">
      <c r="A50" s="4" t="s">
        <v>31</v>
      </c>
      <c r="B50">
        <v>1</v>
      </c>
    </row>
    <row r="51" spans="1:2" x14ac:dyDescent="0.35">
      <c r="A51" s="4" t="s">
        <v>16</v>
      </c>
      <c r="B51">
        <v>1</v>
      </c>
    </row>
    <row r="52" spans="1:2" x14ac:dyDescent="0.35">
      <c r="A52" s="4" t="s">
        <v>182</v>
      </c>
      <c r="B52">
        <v>1</v>
      </c>
    </row>
    <row r="53" spans="1:2" x14ac:dyDescent="0.35">
      <c r="A53" s="4" t="s">
        <v>30</v>
      </c>
      <c r="B53">
        <v>1</v>
      </c>
    </row>
    <row r="54" spans="1:2" x14ac:dyDescent="0.35">
      <c r="A54" s="4" t="s">
        <v>169</v>
      </c>
      <c r="B54">
        <v>1</v>
      </c>
    </row>
    <row r="55" spans="1:2" x14ac:dyDescent="0.35">
      <c r="A55" s="4" t="s">
        <v>24</v>
      </c>
      <c r="B55">
        <v>1</v>
      </c>
    </row>
    <row r="56" spans="1:2" x14ac:dyDescent="0.35">
      <c r="A56" s="4" t="s">
        <v>150</v>
      </c>
      <c r="B56">
        <v>1</v>
      </c>
    </row>
    <row r="57" spans="1:2" x14ac:dyDescent="0.35">
      <c r="A57" s="4" t="s">
        <v>175</v>
      </c>
      <c r="B57">
        <v>1</v>
      </c>
    </row>
    <row r="58" spans="1:2" x14ac:dyDescent="0.35">
      <c r="A58" s="4" t="s">
        <v>58</v>
      </c>
      <c r="B58">
        <v>1</v>
      </c>
    </row>
    <row r="59" spans="1:2" x14ac:dyDescent="0.35">
      <c r="A59" s="4" t="s">
        <v>188</v>
      </c>
      <c r="B59">
        <v>1</v>
      </c>
    </row>
    <row r="60" spans="1:2" x14ac:dyDescent="0.35">
      <c r="A60" s="4" t="s">
        <v>13</v>
      </c>
      <c r="B60">
        <v>1</v>
      </c>
    </row>
    <row r="61" spans="1:2" x14ac:dyDescent="0.35">
      <c r="A61" s="4" t="s">
        <v>172</v>
      </c>
      <c r="B61">
        <v>1</v>
      </c>
    </row>
    <row r="62" spans="1:2" x14ac:dyDescent="0.35">
      <c r="A62" s="4" t="s">
        <v>92</v>
      </c>
      <c r="B62">
        <v>1</v>
      </c>
    </row>
    <row r="63" spans="1:2" x14ac:dyDescent="0.35">
      <c r="A63" s="4" t="s">
        <v>40</v>
      </c>
      <c r="B63">
        <v>1</v>
      </c>
    </row>
    <row r="64" spans="1:2" x14ac:dyDescent="0.35">
      <c r="A64" s="4" t="s">
        <v>15</v>
      </c>
      <c r="B64">
        <v>1</v>
      </c>
    </row>
    <row r="65" spans="1:2" x14ac:dyDescent="0.35">
      <c r="A65" s="4" t="s">
        <v>121</v>
      </c>
      <c r="B65">
        <v>1</v>
      </c>
    </row>
    <row r="66" spans="1:2" x14ac:dyDescent="0.35">
      <c r="A66" s="4" t="s">
        <v>171</v>
      </c>
      <c r="B66">
        <v>1</v>
      </c>
    </row>
    <row r="67" spans="1:2" x14ac:dyDescent="0.35">
      <c r="A67" s="4" t="s">
        <v>142</v>
      </c>
      <c r="B67">
        <v>1</v>
      </c>
    </row>
    <row r="68" spans="1:2" x14ac:dyDescent="0.35">
      <c r="A68" s="4" t="s">
        <v>90</v>
      </c>
      <c r="B68">
        <v>1</v>
      </c>
    </row>
    <row r="69" spans="1:2" x14ac:dyDescent="0.35">
      <c r="A69" s="4" t="s">
        <v>25</v>
      </c>
      <c r="B69">
        <v>1</v>
      </c>
    </row>
    <row r="70" spans="1:2" x14ac:dyDescent="0.35">
      <c r="A70" s="4" t="s">
        <v>101</v>
      </c>
      <c r="B70">
        <v>1</v>
      </c>
    </row>
    <row r="71" spans="1:2" x14ac:dyDescent="0.35">
      <c r="A71" s="4" t="s">
        <v>158</v>
      </c>
      <c r="B71">
        <v>1</v>
      </c>
    </row>
    <row r="72" spans="1:2" x14ac:dyDescent="0.35">
      <c r="A72" s="4" t="s">
        <v>29</v>
      </c>
      <c r="B72">
        <v>1</v>
      </c>
    </row>
    <row r="73" spans="1:2" x14ac:dyDescent="0.35">
      <c r="A73" s="4" t="s">
        <v>64</v>
      </c>
      <c r="B73">
        <v>1</v>
      </c>
    </row>
    <row r="74" spans="1:2" x14ac:dyDescent="0.35">
      <c r="A74" s="4" t="s">
        <v>114</v>
      </c>
      <c r="B74">
        <v>1</v>
      </c>
    </row>
    <row r="75" spans="1:2" x14ac:dyDescent="0.35">
      <c r="A75" s="4" t="s">
        <v>66</v>
      </c>
      <c r="B75">
        <v>1</v>
      </c>
    </row>
    <row r="76" spans="1:2" x14ac:dyDescent="0.35">
      <c r="A76" s="4" t="s">
        <v>97</v>
      </c>
      <c r="B76">
        <v>1</v>
      </c>
    </row>
    <row r="77" spans="1:2" x14ac:dyDescent="0.35">
      <c r="A77" s="4" t="s">
        <v>174</v>
      </c>
      <c r="B77">
        <v>1</v>
      </c>
    </row>
    <row r="78" spans="1:2" x14ac:dyDescent="0.35">
      <c r="A78" s="4" t="s">
        <v>91</v>
      </c>
      <c r="B78">
        <v>1</v>
      </c>
    </row>
    <row r="79" spans="1:2" x14ac:dyDescent="0.35">
      <c r="A79" s="4" t="s">
        <v>144</v>
      </c>
      <c r="B79">
        <v>1</v>
      </c>
    </row>
    <row r="80" spans="1:2" x14ac:dyDescent="0.35">
      <c r="A80" s="4" t="s">
        <v>170</v>
      </c>
      <c r="B80">
        <v>1</v>
      </c>
    </row>
    <row r="81" spans="1:2" x14ac:dyDescent="0.35">
      <c r="A81" s="4" t="s">
        <v>76</v>
      </c>
      <c r="B81">
        <v>1</v>
      </c>
    </row>
    <row r="82" spans="1:2" x14ac:dyDescent="0.35">
      <c r="A82" s="4" t="s">
        <v>140</v>
      </c>
      <c r="B82">
        <v>1</v>
      </c>
    </row>
    <row r="83" spans="1:2" x14ac:dyDescent="0.35">
      <c r="A83" s="4" t="s">
        <v>117</v>
      </c>
      <c r="B83">
        <v>1</v>
      </c>
    </row>
    <row r="84" spans="1:2" x14ac:dyDescent="0.35">
      <c r="A84" s="4" t="s">
        <v>94</v>
      </c>
      <c r="B84">
        <v>1</v>
      </c>
    </row>
    <row r="85" spans="1:2" x14ac:dyDescent="0.35">
      <c r="A85" s="4" t="s">
        <v>189</v>
      </c>
      <c r="B85">
        <v>1</v>
      </c>
    </row>
    <row r="86" spans="1:2" x14ac:dyDescent="0.35">
      <c r="A86" s="4" t="s">
        <v>71</v>
      </c>
      <c r="B86">
        <v>1</v>
      </c>
    </row>
    <row r="87" spans="1:2" x14ac:dyDescent="0.35">
      <c r="A87" s="4" t="s">
        <v>95</v>
      </c>
      <c r="B87">
        <v>1</v>
      </c>
    </row>
    <row r="88" spans="1:2" x14ac:dyDescent="0.35">
      <c r="A88" s="4" t="s">
        <v>157</v>
      </c>
      <c r="B88">
        <v>1</v>
      </c>
    </row>
    <row r="89" spans="1:2" x14ac:dyDescent="0.35">
      <c r="A89" s="4" t="s">
        <v>26</v>
      </c>
      <c r="B89">
        <v>1</v>
      </c>
    </row>
    <row r="90" spans="1:2" x14ac:dyDescent="0.35">
      <c r="A90" s="4" t="s">
        <v>8</v>
      </c>
      <c r="B90">
        <v>1</v>
      </c>
    </row>
    <row r="91" spans="1:2" x14ac:dyDescent="0.35">
      <c r="A91" s="4" t="s">
        <v>18</v>
      </c>
      <c r="B91">
        <v>1</v>
      </c>
    </row>
    <row r="92" spans="1:2" x14ac:dyDescent="0.35">
      <c r="A92" s="4" t="s">
        <v>159</v>
      </c>
      <c r="B92">
        <v>1</v>
      </c>
    </row>
    <row r="93" spans="1:2" x14ac:dyDescent="0.35">
      <c r="A93" s="4" t="s">
        <v>152</v>
      </c>
      <c r="B93">
        <v>1</v>
      </c>
    </row>
    <row r="94" spans="1:2" x14ac:dyDescent="0.35">
      <c r="A94" s="4" t="s">
        <v>139</v>
      </c>
      <c r="B94">
        <v>1</v>
      </c>
    </row>
    <row r="95" spans="1:2" x14ac:dyDescent="0.35">
      <c r="A95" s="4" t="s">
        <v>153</v>
      </c>
      <c r="B95">
        <v>1</v>
      </c>
    </row>
    <row r="96" spans="1:2" x14ac:dyDescent="0.35">
      <c r="A96" s="4" t="s">
        <v>59</v>
      </c>
      <c r="B96">
        <v>1</v>
      </c>
    </row>
    <row r="97" spans="1:2" x14ac:dyDescent="0.35">
      <c r="A97" s="4" t="s">
        <v>108</v>
      </c>
      <c r="B97">
        <v>1</v>
      </c>
    </row>
    <row r="98" spans="1:2" x14ac:dyDescent="0.35">
      <c r="A98" s="4" t="s">
        <v>183</v>
      </c>
      <c r="B98">
        <v>1</v>
      </c>
    </row>
    <row r="99" spans="1:2" x14ac:dyDescent="0.35">
      <c r="A99" s="4" t="s">
        <v>166</v>
      </c>
      <c r="B99">
        <v>1</v>
      </c>
    </row>
    <row r="100" spans="1:2" x14ac:dyDescent="0.35">
      <c r="A100" s="4" t="s">
        <v>134</v>
      </c>
      <c r="B100">
        <v>1</v>
      </c>
    </row>
    <row r="101" spans="1:2" x14ac:dyDescent="0.35">
      <c r="A101" s="4" t="s">
        <v>179</v>
      </c>
      <c r="B101">
        <v>1</v>
      </c>
    </row>
    <row r="102" spans="1:2" x14ac:dyDescent="0.35">
      <c r="A102" s="4" t="s">
        <v>75</v>
      </c>
      <c r="B102">
        <v>1</v>
      </c>
    </row>
    <row r="103" spans="1:2" x14ac:dyDescent="0.35">
      <c r="A103" s="4" t="s">
        <v>141</v>
      </c>
      <c r="B103">
        <v>1</v>
      </c>
    </row>
    <row r="104" spans="1:2" x14ac:dyDescent="0.35">
      <c r="A104" s="4" t="s">
        <v>155</v>
      </c>
      <c r="B104">
        <v>1</v>
      </c>
    </row>
    <row r="105" spans="1:2" x14ac:dyDescent="0.35">
      <c r="A105" s="4" t="s">
        <v>167</v>
      </c>
      <c r="B105">
        <v>1</v>
      </c>
    </row>
    <row r="106" spans="1:2" x14ac:dyDescent="0.35">
      <c r="A106" s="4" t="s">
        <v>17</v>
      </c>
      <c r="B106">
        <v>1</v>
      </c>
    </row>
    <row r="107" spans="1:2" x14ac:dyDescent="0.35">
      <c r="A107" s="4" t="s">
        <v>69</v>
      </c>
      <c r="B107">
        <v>1</v>
      </c>
    </row>
    <row r="108" spans="1:2" x14ac:dyDescent="0.35">
      <c r="A108" s="4" t="s">
        <v>147</v>
      </c>
      <c r="B108">
        <v>1</v>
      </c>
    </row>
    <row r="109" spans="1:2" x14ac:dyDescent="0.35">
      <c r="A109" s="4" t="s">
        <v>186</v>
      </c>
      <c r="B109">
        <v>1</v>
      </c>
    </row>
    <row r="110" spans="1:2" x14ac:dyDescent="0.35">
      <c r="A110" s="4" t="s">
        <v>78</v>
      </c>
      <c r="B110">
        <v>1</v>
      </c>
    </row>
    <row r="111" spans="1:2" x14ac:dyDescent="0.35">
      <c r="A111" s="4" t="s">
        <v>73</v>
      </c>
      <c r="B111">
        <v>1</v>
      </c>
    </row>
    <row r="112" spans="1:2" x14ac:dyDescent="0.35">
      <c r="A112" s="4" t="s">
        <v>57</v>
      </c>
      <c r="B112">
        <v>1</v>
      </c>
    </row>
    <row r="113" spans="1:2" x14ac:dyDescent="0.35">
      <c r="A113" s="4" t="s">
        <v>28</v>
      </c>
      <c r="B113">
        <v>1</v>
      </c>
    </row>
    <row r="114" spans="1:2" x14ac:dyDescent="0.35">
      <c r="A114" s="4" t="s">
        <v>160</v>
      </c>
      <c r="B114">
        <v>1</v>
      </c>
    </row>
    <row r="115" spans="1:2" x14ac:dyDescent="0.35">
      <c r="A115" s="4" t="s">
        <v>118</v>
      </c>
      <c r="B115">
        <v>1</v>
      </c>
    </row>
    <row r="116" spans="1:2" x14ac:dyDescent="0.35">
      <c r="A116" s="4" t="s">
        <v>68</v>
      </c>
      <c r="B116">
        <v>1</v>
      </c>
    </row>
    <row r="117" spans="1:2" x14ac:dyDescent="0.35">
      <c r="A117" s="4" t="s">
        <v>181</v>
      </c>
      <c r="B117">
        <v>1</v>
      </c>
    </row>
    <row r="118" spans="1:2" x14ac:dyDescent="0.35">
      <c r="A118" s="4" t="s">
        <v>161</v>
      </c>
      <c r="B118">
        <v>1</v>
      </c>
    </row>
    <row r="119" spans="1:2" x14ac:dyDescent="0.35">
      <c r="A119" s="4" t="s">
        <v>154</v>
      </c>
      <c r="B119">
        <v>1</v>
      </c>
    </row>
    <row r="120" spans="1:2" x14ac:dyDescent="0.35">
      <c r="A120" s="4" t="s">
        <v>41</v>
      </c>
      <c r="B120">
        <v>1</v>
      </c>
    </row>
    <row r="121" spans="1:2" x14ac:dyDescent="0.35">
      <c r="A121" s="4" t="s">
        <v>65</v>
      </c>
      <c r="B121">
        <v>1</v>
      </c>
    </row>
    <row r="122" spans="1:2" x14ac:dyDescent="0.35">
      <c r="A122" s="4" t="s">
        <v>107</v>
      </c>
      <c r="B122">
        <v>1</v>
      </c>
    </row>
    <row r="123" spans="1:2" x14ac:dyDescent="0.35">
      <c r="A123" s="4" t="s">
        <v>72</v>
      </c>
      <c r="B123">
        <v>1</v>
      </c>
    </row>
    <row r="124" spans="1:2" x14ac:dyDescent="0.35">
      <c r="A124" s="4" t="s">
        <v>127</v>
      </c>
      <c r="B124">
        <v>1</v>
      </c>
    </row>
    <row r="125" spans="1:2" x14ac:dyDescent="0.35">
      <c r="A125" s="4" t="s">
        <v>131</v>
      </c>
      <c r="B125">
        <v>1</v>
      </c>
    </row>
    <row r="126" spans="1:2" x14ac:dyDescent="0.35">
      <c r="A126" s="4" t="s">
        <v>128</v>
      </c>
      <c r="B126">
        <v>1</v>
      </c>
    </row>
    <row r="127" spans="1:2" x14ac:dyDescent="0.35">
      <c r="A127" s="4" t="s">
        <v>173</v>
      </c>
      <c r="B127">
        <v>1</v>
      </c>
    </row>
    <row r="128" spans="1:2" x14ac:dyDescent="0.35">
      <c r="A128" s="4" t="s">
        <v>19</v>
      </c>
      <c r="B128">
        <v>1</v>
      </c>
    </row>
    <row r="129" spans="1:2" x14ac:dyDescent="0.35">
      <c r="A129" s="4" t="s">
        <v>53</v>
      </c>
      <c r="B129">
        <v>1</v>
      </c>
    </row>
    <row r="130" spans="1:2" x14ac:dyDescent="0.35">
      <c r="A130" s="4" t="s">
        <v>133</v>
      </c>
      <c r="B130">
        <v>1</v>
      </c>
    </row>
    <row r="131" spans="1:2" x14ac:dyDescent="0.35">
      <c r="A131" s="4" t="s">
        <v>162</v>
      </c>
      <c r="B131">
        <v>1</v>
      </c>
    </row>
    <row r="132" spans="1:2" x14ac:dyDescent="0.35">
      <c r="A132" s="4" t="s">
        <v>27</v>
      </c>
      <c r="B132">
        <v>1</v>
      </c>
    </row>
    <row r="133" spans="1:2" x14ac:dyDescent="0.35">
      <c r="A133" s="4" t="s">
        <v>130</v>
      </c>
      <c r="B133">
        <v>1</v>
      </c>
    </row>
    <row r="134" spans="1:2" x14ac:dyDescent="0.35">
      <c r="A134" s="4" t="s">
        <v>129</v>
      </c>
      <c r="B134">
        <v>1</v>
      </c>
    </row>
    <row r="135" spans="1:2" x14ac:dyDescent="0.35">
      <c r="A135" s="4" t="s">
        <v>156</v>
      </c>
      <c r="B135">
        <v>1</v>
      </c>
    </row>
    <row r="136" spans="1:2" x14ac:dyDescent="0.35">
      <c r="A136" s="4" t="s">
        <v>184</v>
      </c>
      <c r="B136">
        <v>1</v>
      </c>
    </row>
    <row r="137" spans="1:2" x14ac:dyDescent="0.35">
      <c r="A137" s="4" t="s">
        <v>99</v>
      </c>
      <c r="B137">
        <v>1</v>
      </c>
    </row>
    <row r="138" spans="1:2" x14ac:dyDescent="0.35">
      <c r="A138" s="4" t="s">
        <v>43</v>
      </c>
      <c r="B138">
        <v>1</v>
      </c>
    </row>
    <row r="139" spans="1:2" x14ac:dyDescent="0.35">
      <c r="A139" s="4" t="s">
        <v>195</v>
      </c>
      <c r="B139">
        <v>1</v>
      </c>
    </row>
    <row r="140" spans="1:2" x14ac:dyDescent="0.35">
      <c r="A140" s="4" t="s">
        <v>165</v>
      </c>
      <c r="B140">
        <v>1</v>
      </c>
    </row>
    <row r="141" spans="1:2" x14ac:dyDescent="0.35">
      <c r="A141" s="4" t="s">
        <v>135</v>
      </c>
      <c r="B141">
        <v>1</v>
      </c>
    </row>
    <row r="142" spans="1:2" x14ac:dyDescent="0.35">
      <c r="A142" s="4" t="s">
        <v>83</v>
      </c>
      <c r="B142">
        <v>1</v>
      </c>
    </row>
    <row r="143" spans="1:2" x14ac:dyDescent="0.35">
      <c r="A143" s="4" t="s">
        <v>77</v>
      </c>
      <c r="B143">
        <v>1</v>
      </c>
    </row>
    <row r="144" spans="1:2" x14ac:dyDescent="0.35">
      <c r="A144" s="4" t="s">
        <v>185</v>
      </c>
      <c r="B144">
        <v>1</v>
      </c>
    </row>
    <row r="145" spans="1:2" x14ac:dyDescent="0.35">
      <c r="A145" s="4" t="s">
        <v>10</v>
      </c>
      <c r="B145">
        <v>1</v>
      </c>
    </row>
    <row r="146" spans="1:2" x14ac:dyDescent="0.35">
      <c r="A146" s="4" t="s">
        <v>86</v>
      </c>
      <c r="B146">
        <v>1</v>
      </c>
    </row>
    <row r="147" spans="1:2" x14ac:dyDescent="0.35">
      <c r="A147" s="4" t="s">
        <v>63</v>
      </c>
      <c r="B147">
        <v>1</v>
      </c>
    </row>
    <row r="148" spans="1:2" x14ac:dyDescent="0.35">
      <c r="A148" s="4" t="s">
        <v>192</v>
      </c>
      <c r="B148">
        <v>1</v>
      </c>
    </row>
    <row r="149" spans="1:2" x14ac:dyDescent="0.35">
      <c r="A149" s="4" t="s">
        <v>102</v>
      </c>
      <c r="B149">
        <v>1</v>
      </c>
    </row>
    <row r="150" spans="1:2" x14ac:dyDescent="0.35">
      <c r="A150" s="4" t="s">
        <v>96</v>
      </c>
      <c r="B150">
        <v>1</v>
      </c>
    </row>
    <row r="151" spans="1:2" x14ac:dyDescent="0.35">
      <c r="A151" s="4" t="s">
        <v>151</v>
      </c>
      <c r="B151">
        <v>1</v>
      </c>
    </row>
    <row r="152" spans="1:2" x14ac:dyDescent="0.35">
      <c r="A152" s="4" t="s">
        <v>35</v>
      </c>
      <c r="B152">
        <v>1</v>
      </c>
    </row>
    <row r="153" spans="1:2" x14ac:dyDescent="0.35">
      <c r="A153" s="4" t="s">
        <v>119</v>
      </c>
      <c r="B153">
        <v>1</v>
      </c>
    </row>
    <row r="154" spans="1:2" x14ac:dyDescent="0.35">
      <c r="A154" s="4" t="s">
        <v>14</v>
      </c>
      <c r="B154">
        <v>1</v>
      </c>
    </row>
    <row r="155" spans="1:2" x14ac:dyDescent="0.35">
      <c r="A155" s="4" t="s">
        <v>164</v>
      </c>
      <c r="B155">
        <v>1</v>
      </c>
    </row>
    <row r="156" spans="1:2" x14ac:dyDescent="0.35">
      <c r="A156" s="4" t="s">
        <v>36</v>
      </c>
      <c r="B156">
        <v>1</v>
      </c>
    </row>
    <row r="157" spans="1:2" x14ac:dyDescent="0.35">
      <c r="A157" s="4" t="s">
        <v>56</v>
      </c>
      <c r="B157">
        <v>1</v>
      </c>
    </row>
    <row r="158" spans="1:2" x14ac:dyDescent="0.35">
      <c r="A158" s="4" t="s">
        <v>11</v>
      </c>
      <c r="B158">
        <v>1</v>
      </c>
    </row>
    <row r="159" spans="1:2" x14ac:dyDescent="0.35">
      <c r="A159" s="4" t="s">
        <v>149</v>
      </c>
      <c r="B159">
        <v>1</v>
      </c>
    </row>
    <row r="160" spans="1:2" x14ac:dyDescent="0.35">
      <c r="A160" s="4" t="s">
        <v>193</v>
      </c>
      <c r="B160">
        <v>1</v>
      </c>
    </row>
    <row r="161" spans="1:2" x14ac:dyDescent="0.35">
      <c r="A161" s="4" t="s">
        <v>79</v>
      </c>
      <c r="B161">
        <v>1</v>
      </c>
    </row>
    <row r="162" spans="1:2" x14ac:dyDescent="0.35">
      <c r="A162" s="4" t="s">
        <v>60</v>
      </c>
      <c r="B162">
        <v>1</v>
      </c>
    </row>
    <row r="163" spans="1:2" x14ac:dyDescent="0.35">
      <c r="A163" s="4" t="s">
        <v>104</v>
      </c>
      <c r="B163">
        <v>1</v>
      </c>
    </row>
    <row r="164" spans="1:2" x14ac:dyDescent="0.35">
      <c r="A164" s="4" t="s">
        <v>136</v>
      </c>
      <c r="B164">
        <v>1</v>
      </c>
    </row>
    <row r="165" spans="1:2" x14ac:dyDescent="0.35">
      <c r="A165" s="4" t="s">
        <v>200</v>
      </c>
    </row>
    <row r="166" spans="1:2" x14ac:dyDescent="0.35">
      <c r="A166" s="4" t="s">
        <v>51</v>
      </c>
      <c r="B166">
        <v>229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2C7E-E6DA-4340-BEE9-A978C9B55E59}">
  <sheetPr filterMode="1"/>
  <dimension ref="A1:K514"/>
  <sheetViews>
    <sheetView tabSelected="1" zoomScale="98" zoomScaleNormal="98" workbookViewId="0">
      <pane ySplit="1" topLeftCell="A53" activePane="bottomLeft" state="frozen"/>
      <selection pane="bottomLeft" activeCell="B479" sqref="B479"/>
    </sheetView>
  </sheetViews>
  <sheetFormatPr defaultRowHeight="14.5" x14ac:dyDescent="0.35"/>
  <cols>
    <col min="1" max="1" width="5" bestFit="1" customWidth="1"/>
    <col min="2" max="2" width="40.7265625" bestFit="1" customWidth="1"/>
    <col min="3" max="3" width="34.6328125" customWidth="1"/>
    <col min="4" max="4" width="14.26953125" bestFit="1" customWidth="1"/>
    <col min="5" max="5" width="11.453125" bestFit="1" customWidth="1"/>
    <col min="6" max="6" width="10.36328125" bestFit="1" customWidth="1"/>
    <col min="7" max="7" width="8.08984375" bestFit="1" customWidth="1"/>
    <col min="8" max="8" width="22.453125" bestFit="1" customWidth="1"/>
    <col min="9" max="9" width="12" bestFit="1" customWidth="1"/>
    <col min="10" max="10" width="34.6328125" bestFit="1" customWidth="1"/>
    <col min="11" max="11" width="17.81640625" bestFit="1" customWidth="1"/>
  </cols>
  <sheetData>
    <row r="1" spans="1:11" x14ac:dyDescent="0.35">
      <c r="A1" t="s">
        <v>0</v>
      </c>
      <c r="B1" t="s">
        <v>109</v>
      </c>
      <c r="C1" t="s">
        <v>122</v>
      </c>
      <c r="D1" t="s">
        <v>1</v>
      </c>
      <c r="E1" t="s">
        <v>2</v>
      </c>
      <c r="F1" t="s">
        <v>3</v>
      </c>
      <c r="G1" t="s">
        <v>4</v>
      </c>
      <c r="H1" t="s">
        <v>295</v>
      </c>
      <c r="I1" t="s">
        <v>296</v>
      </c>
    </row>
    <row r="2" spans="1:11" hidden="1" x14ac:dyDescent="0.35">
      <c r="A2">
        <v>1</v>
      </c>
      <c r="B2" t="s">
        <v>8</v>
      </c>
      <c r="D2" s="1">
        <v>46174</v>
      </c>
      <c r="E2">
        <v>3538</v>
      </c>
      <c r="F2">
        <v>3690</v>
      </c>
      <c r="G2">
        <v>3450</v>
      </c>
      <c r="K2" s="6" t="s">
        <v>197</v>
      </c>
    </row>
    <row r="3" spans="1:11" hidden="1" x14ac:dyDescent="0.35">
      <c r="A3">
        <v>2</v>
      </c>
      <c r="B3" t="s">
        <v>52</v>
      </c>
      <c r="D3" s="1">
        <v>46174</v>
      </c>
      <c r="E3">
        <v>748</v>
      </c>
      <c r="K3" s="2" t="s">
        <v>198</v>
      </c>
    </row>
    <row r="4" spans="1:11" hidden="1" x14ac:dyDescent="0.35">
      <c r="A4">
        <v>3</v>
      </c>
      <c r="B4" t="s">
        <v>111</v>
      </c>
      <c r="D4" s="1">
        <v>46174</v>
      </c>
      <c r="E4">
        <v>2056</v>
      </c>
    </row>
    <row r="5" spans="1:11" hidden="1" x14ac:dyDescent="0.35">
      <c r="A5">
        <v>4</v>
      </c>
      <c r="B5" t="s">
        <v>53</v>
      </c>
      <c r="D5" s="1">
        <v>46174</v>
      </c>
      <c r="E5">
        <v>1006</v>
      </c>
      <c r="F5">
        <v>1160</v>
      </c>
    </row>
    <row r="6" spans="1:11" hidden="1" x14ac:dyDescent="0.35">
      <c r="A6">
        <v>5</v>
      </c>
      <c r="B6" t="s">
        <v>54</v>
      </c>
      <c r="D6" s="1">
        <v>46174</v>
      </c>
      <c r="E6">
        <v>5881</v>
      </c>
      <c r="F6">
        <v>6600</v>
      </c>
    </row>
    <row r="7" spans="1:11" hidden="1" x14ac:dyDescent="0.35">
      <c r="A7">
        <v>6</v>
      </c>
      <c r="B7" t="s">
        <v>9</v>
      </c>
      <c r="D7" s="1">
        <v>46174</v>
      </c>
      <c r="E7">
        <v>1456</v>
      </c>
      <c r="F7">
        <v>1483</v>
      </c>
      <c r="G7">
        <v>1438</v>
      </c>
    </row>
    <row r="8" spans="1:11" hidden="1" x14ac:dyDescent="0.35">
      <c r="A8">
        <v>7</v>
      </c>
      <c r="B8" t="s">
        <v>55</v>
      </c>
      <c r="D8" s="1">
        <v>46175</v>
      </c>
      <c r="E8">
        <v>439.39</v>
      </c>
      <c r="F8">
        <v>580</v>
      </c>
    </row>
    <row r="9" spans="1:11" hidden="1" x14ac:dyDescent="0.35">
      <c r="A9">
        <v>8</v>
      </c>
      <c r="B9" t="s">
        <v>56</v>
      </c>
      <c r="D9" s="1">
        <v>46175</v>
      </c>
      <c r="E9">
        <v>3104.84</v>
      </c>
      <c r="F9">
        <v>3850</v>
      </c>
    </row>
    <row r="10" spans="1:11" hidden="1" x14ac:dyDescent="0.35">
      <c r="A10">
        <v>9</v>
      </c>
      <c r="B10" t="s">
        <v>57</v>
      </c>
      <c r="D10" s="1">
        <v>46175</v>
      </c>
      <c r="E10">
        <v>1208.33</v>
      </c>
      <c r="F10">
        <v>1450</v>
      </c>
    </row>
    <row r="11" spans="1:11" hidden="1" x14ac:dyDescent="0.35">
      <c r="A11">
        <v>10</v>
      </c>
      <c r="B11" t="s">
        <v>58</v>
      </c>
      <c r="D11" s="1">
        <v>46175</v>
      </c>
      <c r="E11">
        <v>932.2</v>
      </c>
      <c r="F11">
        <v>1100</v>
      </c>
    </row>
    <row r="12" spans="1:11" hidden="1" x14ac:dyDescent="0.35">
      <c r="A12">
        <v>11</v>
      </c>
      <c r="B12" t="s">
        <v>59</v>
      </c>
      <c r="D12" s="1">
        <v>46175</v>
      </c>
      <c r="E12">
        <v>3318.97</v>
      </c>
      <c r="F12">
        <v>3850</v>
      </c>
    </row>
    <row r="13" spans="1:11" hidden="1" x14ac:dyDescent="0.35">
      <c r="A13">
        <v>12</v>
      </c>
      <c r="B13" t="s">
        <v>10</v>
      </c>
      <c r="D13" s="1">
        <v>46175</v>
      </c>
      <c r="E13">
        <v>1543</v>
      </c>
      <c r="F13">
        <v>1720</v>
      </c>
    </row>
    <row r="14" spans="1:11" hidden="1" x14ac:dyDescent="0.35">
      <c r="A14">
        <v>13</v>
      </c>
      <c r="B14" t="s">
        <v>60</v>
      </c>
      <c r="D14" s="1">
        <v>46175</v>
      </c>
      <c r="E14">
        <v>434</v>
      </c>
    </row>
    <row r="15" spans="1:11" hidden="1" x14ac:dyDescent="0.35">
      <c r="A15">
        <v>14</v>
      </c>
      <c r="B15" t="s">
        <v>61</v>
      </c>
      <c r="D15" s="1">
        <v>46175</v>
      </c>
      <c r="E15">
        <v>185</v>
      </c>
      <c r="F15">
        <v>235</v>
      </c>
    </row>
    <row r="16" spans="1:11" hidden="1" x14ac:dyDescent="0.35">
      <c r="A16">
        <v>15</v>
      </c>
      <c r="B16" t="s">
        <v>62</v>
      </c>
      <c r="D16" s="1">
        <v>46175</v>
      </c>
      <c r="E16">
        <v>1783</v>
      </c>
      <c r="F16">
        <v>2050</v>
      </c>
    </row>
    <row r="17" spans="1:8" hidden="1" x14ac:dyDescent="0.35">
      <c r="A17">
        <v>16</v>
      </c>
      <c r="B17" t="s">
        <v>52</v>
      </c>
      <c r="D17" s="1">
        <v>46175</v>
      </c>
      <c r="E17">
        <v>767</v>
      </c>
      <c r="F17">
        <v>890</v>
      </c>
      <c r="G17">
        <v>705</v>
      </c>
    </row>
    <row r="18" spans="1:8" hidden="1" x14ac:dyDescent="0.35">
      <c r="A18">
        <v>17</v>
      </c>
      <c r="B18" t="s">
        <v>63</v>
      </c>
      <c r="D18" s="1">
        <v>46176</v>
      </c>
      <c r="E18">
        <v>835</v>
      </c>
    </row>
    <row r="19" spans="1:8" hidden="1" x14ac:dyDescent="0.35">
      <c r="A19">
        <v>18</v>
      </c>
      <c r="B19" t="s">
        <v>64</v>
      </c>
      <c r="D19" s="1">
        <v>46176</v>
      </c>
      <c r="E19">
        <v>537</v>
      </c>
      <c r="F19">
        <v>580</v>
      </c>
      <c r="G19">
        <v>510</v>
      </c>
    </row>
    <row r="20" spans="1:8" hidden="1" x14ac:dyDescent="0.35">
      <c r="A20">
        <v>19</v>
      </c>
      <c r="B20" t="s">
        <v>65</v>
      </c>
      <c r="D20" s="1">
        <v>46176</v>
      </c>
      <c r="E20">
        <v>1074</v>
      </c>
    </row>
    <row r="21" spans="1:8" hidden="1" x14ac:dyDescent="0.35">
      <c r="A21">
        <v>20</v>
      </c>
      <c r="B21" t="s">
        <v>66</v>
      </c>
      <c r="D21" s="1">
        <v>46176</v>
      </c>
      <c r="E21">
        <v>406</v>
      </c>
    </row>
    <row r="22" spans="1:8" hidden="1" x14ac:dyDescent="0.35">
      <c r="A22">
        <v>21</v>
      </c>
      <c r="B22" t="s">
        <v>11</v>
      </c>
      <c r="D22" s="1">
        <v>46176</v>
      </c>
      <c r="E22">
        <v>1090</v>
      </c>
      <c r="F22">
        <v>1200</v>
      </c>
    </row>
    <row r="23" spans="1:8" hidden="1" x14ac:dyDescent="0.35">
      <c r="A23">
        <v>22</v>
      </c>
      <c r="B23" t="s">
        <v>52</v>
      </c>
      <c r="D23" s="1">
        <v>46176</v>
      </c>
      <c r="E23">
        <v>767</v>
      </c>
      <c r="F23">
        <v>890</v>
      </c>
      <c r="G23">
        <v>705</v>
      </c>
      <c r="H23">
        <v>1153</v>
      </c>
    </row>
    <row r="24" spans="1:8" hidden="1" x14ac:dyDescent="0.35">
      <c r="A24">
        <v>23</v>
      </c>
      <c r="B24" t="s">
        <v>12</v>
      </c>
      <c r="D24" s="1">
        <v>46177</v>
      </c>
      <c r="E24">
        <v>2189</v>
      </c>
      <c r="F24">
        <v>2484</v>
      </c>
      <c r="G24">
        <v>2040</v>
      </c>
    </row>
    <row r="25" spans="1:8" hidden="1" x14ac:dyDescent="0.35">
      <c r="A25">
        <v>24</v>
      </c>
      <c r="B25" t="s">
        <v>67</v>
      </c>
      <c r="D25" s="1">
        <v>46182</v>
      </c>
      <c r="E25">
        <v>305</v>
      </c>
      <c r="F25">
        <v>325</v>
      </c>
      <c r="G25">
        <v>295</v>
      </c>
    </row>
    <row r="26" spans="1:8" hidden="1" x14ac:dyDescent="0.35">
      <c r="A26">
        <v>25</v>
      </c>
      <c r="B26" t="s">
        <v>13</v>
      </c>
      <c r="D26" s="1">
        <v>46182</v>
      </c>
      <c r="E26">
        <v>168.6</v>
      </c>
    </row>
    <row r="27" spans="1:8" hidden="1" x14ac:dyDescent="0.35">
      <c r="A27">
        <v>26</v>
      </c>
      <c r="B27" t="s">
        <v>68</v>
      </c>
      <c r="D27" s="1">
        <v>46182</v>
      </c>
      <c r="E27">
        <v>268</v>
      </c>
      <c r="F27">
        <v>360</v>
      </c>
    </row>
    <row r="28" spans="1:8" hidden="1" x14ac:dyDescent="0.35">
      <c r="A28">
        <v>27</v>
      </c>
      <c r="B28" t="s">
        <v>52</v>
      </c>
      <c r="D28" s="1">
        <v>46182</v>
      </c>
      <c r="E28">
        <v>767</v>
      </c>
      <c r="F28">
        <v>890</v>
      </c>
      <c r="G28">
        <v>705</v>
      </c>
    </row>
    <row r="29" spans="1:8" hidden="1" x14ac:dyDescent="0.35">
      <c r="A29">
        <v>28</v>
      </c>
      <c r="B29" t="s">
        <v>69</v>
      </c>
      <c r="D29" s="1">
        <v>46184</v>
      </c>
      <c r="E29">
        <v>1438</v>
      </c>
      <c r="F29">
        <v>1550</v>
      </c>
      <c r="G29">
        <v>1388</v>
      </c>
    </row>
    <row r="30" spans="1:8" hidden="1" x14ac:dyDescent="0.35">
      <c r="A30">
        <v>29</v>
      </c>
      <c r="B30" t="s">
        <v>70</v>
      </c>
      <c r="D30" s="1">
        <v>46184</v>
      </c>
      <c r="E30">
        <v>1506</v>
      </c>
      <c r="G30">
        <v>1450</v>
      </c>
    </row>
    <row r="31" spans="1:8" hidden="1" x14ac:dyDescent="0.35">
      <c r="A31">
        <v>30</v>
      </c>
      <c r="B31" t="s">
        <v>71</v>
      </c>
      <c r="D31" s="1">
        <v>46184</v>
      </c>
      <c r="E31">
        <v>1039</v>
      </c>
      <c r="F31">
        <v>1280</v>
      </c>
    </row>
    <row r="32" spans="1:8" hidden="1" x14ac:dyDescent="0.35">
      <c r="A32">
        <v>31</v>
      </c>
      <c r="B32" t="s">
        <v>72</v>
      </c>
      <c r="D32" s="1">
        <v>46184</v>
      </c>
      <c r="E32">
        <v>3145</v>
      </c>
      <c r="F32">
        <v>3900</v>
      </c>
    </row>
    <row r="33" spans="1:7" hidden="1" x14ac:dyDescent="0.35">
      <c r="A33">
        <v>32</v>
      </c>
      <c r="B33" t="s">
        <v>113</v>
      </c>
      <c r="D33" s="1">
        <v>46185</v>
      </c>
      <c r="E33">
        <v>3089</v>
      </c>
      <c r="F33">
        <v>3270</v>
      </c>
      <c r="G33">
        <v>3000</v>
      </c>
    </row>
    <row r="34" spans="1:7" hidden="1" x14ac:dyDescent="0.35">
      <c r="A34">
        <v>33</v>
      </c>
      <c r="B34" t="s">
        <v>14</v>
      </c>
      <c r="D34" s="1">
        <v>46185</v>
      </c>
      <c r="E34">
        <v>2779</v>
      </c>
    </row>
    <row r="35" spans="1:7" hidden="1" x14ac:dyDescent="0.35">
      <c r="A35">
        <v>34</v>
      </c>
      <c r="B35" t="s">
        <v>15</v>
      </c>
      <c r="D35" s="1">
        <v>46185</v>
      </c>
      <c r="E35">
        <v>2306</v>
      </c>
    </row>
    <row r="36" spans="1:7" hidden="1" x14ac:dyDescent="0.35">
      <c r="A36">
        <v>35</v>
      </c>
      <c r="B36" t="s">
        <v>73</v>
      </c>
      <c r="D36" s="1">
        <v>46185</v>
      </c>
      <c r="E36">
        <v>1510</v>
      </c>
      <c r="F36">
        <v>1860</v>
      </c>
    </row>
    <row r="37" spans="1:7" hidden="1" x14ac:dyDescent="0.35">
      <c r="A37">
        <v>36</v>
      </c>
      <c r="B37" t="s">
        <v>16</v>
      </c>
      <c r="D37" s="1">
        <v>46185</v>
      </c>
      <c r="E37">
        <v>351</v>
      </c>
      <c r="F37">
        <v>405</v>
      </c>
      <c r="G37">
        <v>322</v>
      </c>
    </row>
    <row r="38" spans="1:7" hidden="1" x14ac:dyDescent="0.35">
      <c r="A38">
        <v>37</v>
      </c>
      <c r="B38" t="s">
        <v>74</v>
      </c>
      <c r="D38" s="1">
        <v>46188</v>
      </c>
      <c r="E38">
        <v>86</v>
      </c>
      <c r="F38">
        <v>105</v>
      </c>
      <c r="G38">
        <v>76</v>
      </c>
    </row>
    <row r="39" spans="1:7" hidden="1" x14ac:dyDescent="0.35">
      <c r="A39">
        <v>38</v>
      </c>
      <c r="B39" t="s">
        <v>75</v>
      </c>
      <c r="D39" s="1">
        <v>46188</v>
      </c>
      <c r="E39">
        <v>4710</v>
      </c>
      <c r="F39">
        <v>5600</v>
      </c>
    </row>
    <row r="40" spans="1:7" hidden="1" x14ac:dyDescent="0.35">
      <c r="A40">
        <v>39</v>
      </c>
      <c r="B40" t="s">
        <v>17</v>
      </c>
      <c r="D40" s="1">
        <v>46188</v>
      </c>
      <c r="E40">
        <v>141</v>
      </c>
    </row>
    <row r="41" spans="1:7" hidden="1" x14ac:dyDescent="0.35">
      <c r="A41">
        <v>40</v>
      </c>
      <c r="B41" t="s">
        <v>18</v>
      </c>
      <c r="D41" s="1">
        <v>46188</v>
      </c>
      <c r="E41">
        <v>2743</v>
      </c>
    </row>
    <row r="42" spans="1:7" hidden="1" x14ac:dyDescent="0.35">
      <c r="A42">
        <v>41</v>
      </c>
      <c r="B42" t="s">
        <v>19</v>
      </c>
      <c r="D42" s="1">
        <v>46188</v>
      </c>
      <c r="E42">
        <v>276</v>
      </c>
      <c r="F42">
        <v>294</v>
      </c>
      <c r="G42">
        <v>265</v>
      </c>
    </row>
    <row r="43" spans="1:7" hidden="1" x14ac:dyDescent="0.35">
      <c r="A43">
        <v>42</v>
      </c>
      <c r="B43" t="s">
        <v>110</v>
      </c>
      <c r="D43" s="1">
        <v>46189</v>
      </c>
      <c r="E43">
        <v>2020</v>
      </c>
      <c r="F43">
        <v>2200</v>
      </c>
      <c r="G43">
        <v>1940</v>
      </c>
    </row>
    <row r="44" spans="1:7" hidden="1" x14ac:dyDescent="0.35">
      <c r="A44">
        <v>43</v>
      </c>
      <c r="B44" t="s">
        <v>113</v>
      </c>
      <c r="D44" s="1">
        <v>46189</v>
      </c>
      <c r="E44">
        <v>3171</v>
      </c>
    </row>
    <row r="45" spans="1:7" hidden="1" x14ac:dyDescent="0.35">
      <c r="A45">
        <v>44</v>
      </c>
      <c r="B45" t="s">
        <v>76</v>
      </c>
      <c r="D45" s="1">
        <v>46189</v>
      </c>
      <c r="E45">
        <v>1860</v>
      </c>
    </row>
    <row r="46" spans="1:7" hidden="1" x14ac:dyDescent="0.35">
      <c r="A46">
        <v>45</v>
      </c>
      <c r="B46" t="s">
        <v>77</v>
      </c>
      <c r="D46" s="1">
        <v>46189</v>
      </c>
      <c r="E46">
        <v>7625</v>
      </c>
    </row>
    <row r="47" spans="1:7" hidden="1" x14ac:dyDescent="0.35">
      <c r="A47">
        <v>46</v>
      </c>
      <c r="B47" t="s">
        <v>78</v>
      </c>
      <c r="D47" s="1">
        <v>46189</v>
      </c>
      <c r="F47">
        <v>217</v>
      </c>
    </row>
    <row r="48" spans="1:7" hidden="1" x14ac:dyDescent="0.35">
      <c r="A48">
        <v>47</v>
      </c>
      <c r="B48" t="s">
        <v>79</v>
      </c>
      <c r="D48" s="1">
        <v>46189</v>
      </c>
      <c r="F48">
        <v>125</v>
      </c>
    </row>
    <row r="49" spans="1:7" hidden="1" x14ac:dyDescent="0.35">
      <c r="A49">
        <v>48</v>
      </c>
      <c r="B49" t="s">
        <v>21</v>
      </c>
      <c r="D49" s="1">
        <v>46189</v>
      </c>
      <c r="F49">
        <v>1765</v>
      </c>
    </row>
    <row r="50" spans="1:7" hidden="1" x14ac:dyDescent="0.35">
      <c r="A50">
        <v>49</v>
      </c>
      <c r="B50" t="s">
        <v>80</v>
      </c>
      <c r="D50" s="1">
        <v>46189</v>
      </c>
      <c r="E50">
        <v>210</v>
      </c>
    </row>
    <row r="51" spans="1:7" hidden="1" x14ac:dyDescent="0.35">
      <c r="A51">
        <v>50</v>
      </c>
      <c r="B51" t="s">
        <v>74</v>
      </c>
      <c r="D51" s="1">
        <v>46189</v>
      </c>
      <c r="E51">
        <v>86</v>
      </c>
      <c r="F51">
        <v>105</v>
      </c>
      <c r="G51">
        <v>76</v>
      </c>
    </row>
    <row r="52" spans="1:7" hidden="1" x14ac:dyDescent="0.35">
      <c r="A52">
        <v>51</v>
      </c>
      <c r="B52" t="s">
        <v>110</v>
      </c>
      <c r="D52" s="1">
        <v>46190</v>
      </c>
      <c r="E52">
        <v>1953</v>
      </c>
      <c r="F52">
        <v>2220</v>
      </c>
      <c r="G52">
        <v>1820</v>
      </c>
    </row>
    <row r="53" spans="1:7" x14ac:dyDescent="0.35">
      <c r="A53">
        <v>52</v>
      </c>
      <c r="B53" t="s">
        <v>81</v>
      </c>
      <c r="D53" s="1">
        <v>46190</v>
      </c>
      <c r="E53">
        <v>1079</v>
      </c>
    </row>
    <row r="54" spans="1:7" hidden="1" x14ac:dyDescent="0.35">
      <c r="A54">
        <v>53</v>
      </c>
      <c r="B54" t="s">
        <v>9</v>
      </c>
      <c r="D54" s="1">
        <v>46190</v>
      </c>
      <c r="E54">
        <v>1465</v>
      </c>
      <c r="F54">
        <v>1900</v>
      </c>
    </row>
    <row r="55" spans="1:7" hidden="1" x14ac:dyDescent="0.35">
      <c r="A55">
        <v>54</v>
      </c>
      <c r="B55" t="s">
        <v>22</v>
      </c>
      <c r="D55" s="1">
        <v>46190</v>
      </c>
      <c r="E55">
        <v>374</v>
      </c>
    </row>
    <row r="56" spans="1:7" hidden="1" x14ac:dyDescent="0.35">
      <c r="A56">
        <v>55</v>
      </c>
      <c r="B56" t="s">
        <v>23</v>
      </c>
      <c r="D56" s="1">
        <v>46190</v>
      </c>
      <c r="E56">
        <v>1520</v>
      </c>
    </row>
    <row r="57" spans="1:7" hidden="1" x14ac:dyDescent="0.35">
      <c r="A57">
        <v>56</v>
      </c>
      <c r="B57" t="s">
        <v>80</v>
      </c>
      <c r="D57" s="1">
        <v>46190</v>
      </c>
      <c r="E57">
        <v>217</v>
      </c>
      <c r="F57">
        <v>234</v>
      </c>
      <c r="G57">
        <v>204</v>
      </c>
    </row>
    <row r="58" spans="1:7" hidden="1" x14ac:dyDescent="0.35">
      <c r="A58">
        <v>57</v>
      </c>
      <c r="B58" t="s">
        <v>24</v>
      </c>
      <c r="D58" s="1">
        <v>46190</v>
      </c>
      <c r="E58">
        <v>153</v>
      </c>
      <c r="F58">
        <v>159</v>
      </c>
      <c r="G58">
        <v>151</v>
      </c>
    </row>
    <row r="59" spans="1:7" hidden="1" x14ac:dyDescent="0.35">
      <c r="A59">
        <v>58</v>
      </c>
      <c r="B59" t="s">
        <v>82</v>
      </c>
      <c r="D59" s="1">
        <v>46191</v>
      </c>
      <c r="E59">
        <v>419</v>
      </c>
      <c r="F59">
        <v>510</v>
      </c>
    </row>
    <row r="60" spans="1:7" hidden="1" x14ac:dyDescent="0.35">
      <c r="A60">
        <v>59</v>
      </c>
      <c r="B60" t="s">
        <v>111</v>
      </c>
      <c r="D60" s="1">
        <v>46191</v>
      </c>
      <c r="E60">
        <v>2210</v>
      </c>
      <c r="F60">
        <v>2600</v>
      </c>
    </row>
    <row r="61" spans="1:7" hidden="1" x14ac:dyDescent="0.35">
      <c r="A61">
        <v>60</v>
      </c>
      <c r="B61" t="s">
        <v>25</v>
      </c>
      <c r="D61" s="1">
        <v>46191</v>
      </c>
      <c r="E61">
        <v>59</v>
      </c>
    </row>
    <row r="62" spans="1:7" hidden="1" x14ac:dyDescent="0.35">
      <c r="A62">
        <v>61</v>
      </c>
      <c r="B62" t="s">
        <v>26</v>
      </c>
      <c r="D62" s="1">
        <v>46191</v>
      </c>
      <c r="E62">
        <v>1026</v>
      </c>
    </row>
    <row r="63" spans="1:7" hidden="1" x14ac:dyDescent="0.35">
      <c r="A63">
        <v>62</v>
      </c>
      <c r="B63" t="s">
        <v>82</v>
      </c>
      <c r="D63" s="1">
        <v>46191</v>
      </c>
      <c r="E63">
        <v>420</v>
      </c>
    </row>
    <row r="64" spans="1:7" hidden="1" x14ac:dyDescent="0.35">
      <c r="A64">
        <v>63</v>
      </c>
      <c r="B64" t="s">
        <v>83</v>
      </c>
      <c r="D64" s="1">
        <v>46191</v>
      </c>
      <c r="E64">
        <v>960</v>
      </c>
      <c r="F64">
        <v>1022</v>
      </c>
      <c r="G64">
        <v>930</v>
      </c>
    </row>
    <row r="65" spans="1:7" hidden="1" x14ac:dyDescent="0.35">
      <c r="A65">
        <v>64</v>
      </c>
      <c r="B65" t="s">
        <v>84</v>
      </c>
      <c r="D65" s="1">
        <v>46192</v>
      </c>
      <c r="E65">
        <v>3653</v>
      </c>
      <c r="F65">
        <v>4100</v>
      </c>
      <c r="G65">
        <v>3415</v>
      </c>
    </row>
    <row r="66" spans="1:7" hidden="1" x14ac:dyDescent="0.35">
      <c r="A66">
        <v>65</v>
      </c>
      <c r="B66" t="s">
        <v>85</v>
      </c>
      <c r="D66" s="1">
        <v>46192</v>
      </c>
      <c r="E66">
        <v>353</v>
      </c>
      <c r="F66">
        <v>400</v>
      </c>
    </row>
    <row r="67" spans="1:7" hidden="1" x14ac:dyDescent="0.35">
      <c r="A67">
        <v>66</v>
      </c>
      <c r="B67" t="s">
        <v>86</v>
      </c>
      <c r="D67" s="1">
        <v>46192</v>
      </c>
      <c r="E67">
        <v>7965</v>
      </c>
      <c r="F67">
        <v>8450</v>
      </c>
    </row>
    <row r="68" spans="1:7" hidden="1" x14ac:dyDescent="0.35">
      <c r="A68">
        <v>67</v>
      </c>
      <c r="B68" t="s">
        <v>27</v>
      </c>
      <c r="D68" s="1">
        <v>46192</v>
      </c>
      <c r="E68">
        <v>406</v>
      </c>
    </row>
    <row r="69" spans="1:7" hidden="1" x14ac:dyDescent="0.35">
      <c r="A69">
        <v>68</v>
      </c>
      <c r="B69" t="s">
        <v>28</v>
      </c>
      <c r="D69" s="1">
        <v>46192</v>
      </c>
      <c r="E69">
        <v>1446</v>
      </c>
    </row>
    <row r="70" spans="1:7" hidden="1" x14ac:dyDescent="0.35">
      <c r="A70">
        <v>69</v>
      </c>
      <c r="B70" t="s">
        <v>29</v>
      </c>
      <c r="D70" s="1">
        <v>46192</v>
      </c>
      <c r="E70">
        <v>3013</v>
      </c>
      <c r="F70">
        <v>3230</v>
      </c>
      <c r="G70">
        <v>2845</v>
      </c>
    </row>
    <row r="71" spans="1:7" hidden="1" x14ac:dyDescent="0.35">
      <c r="A71">
        <v>70</v>
      </c>
      <c r="B71" t="s">
        <v>30</v>
      </c>
      <c r="D71" s="1">
        <v>46192</v>
      </c>
    </row>
    <row r="72" spans="1:7" hidden="1" x14ac:dyDescent="0.35">
      <c r="A72">
        <v>71</v>
      </c>
      <c r="B72" t="s">
        <v>84</v>
      </c>
      <c r="D72" s="1">
        <v>46195</v>
      </c>
      <c r="E72">
        <v>3653</v>
      </c>
      <c r="F72">
        <v>4100</v>
      </c>
      <c r="G72">
        <v>3415</v>
      </c>
    </row>
    <row r="73" spans="1:7" hidden="1" x14ac:dyDescent="0.35">
      <c r="A73">
        <v>72</v>
      </c>
      <c r="B73" t="s">
        <v>87</v>
      </c>
      <c r="D73" s="1">
        <v>46195</v>
      </c>
      <c r="E73">
        <v>1992</v>
      </c>
      <c r="F73">
        <v>2350</v>
      </c>
    </row>
    <row r="74" spans="1:7" hidden="1" x14ac:dyDescent="0.35">
      <c r="A74">
        <v>73</v>
      </c>
      <c r="B74" t="s">
        <v>55</v>
      </c>
      <c r="D74" s="1">
        <v>46195</v>
      </c>
      <c r="E74">
        <v>416</v>
      </c>
      <c r="F74">
        <v>580</v>
      </c>
    </row>
    <row r="75" spans="1:7" hidden="1" x14ac:dyDescent="0.35">
      <c r="A75">
        <v>74</v>
      </c>
      <c r="B75" t="s">
        <v>31</v>
      </c>
      <c r="D75" s="1">
        <v>46195</v>
      </c>
      <c r="E75">
        <v>1889</v>
      </c>
    </row>
    <row r="76" spans="1:7" hidden="1" x14ac:dyDescent="0.35">
      <c r="A76">
        <v>75</v>
      </c>
      <c r="B76" t="s">
        <v>32</v>
      </c>
      <c r="D76" s="1">
        <v>46195</v>
      </c>
      <c r="E76">
        <v>264</v>
      </c>
    </row>
    <row r="77" spans="1:7" hidden="1" x14ac:dyDescent="0.35">
      <c r="A77">
        <v>76</v>
      </c>
      <c r="B77" t="s">
        <v>22</v>
      </c>
      <c r="D77" s="1">
        <v>46195</v>
      </c>
      <c r="E77">
        <v>376</v>
      </c>
    </row>
    <row r="78" spans="1:7" hidden="1" x14ac:dyDescent="0.35">
      <c r="A78">
        <v>77</v>
      </c>
      <c r="B78" t="s">
        <v>33</v>
      </c>
      <c r="D78" s="1">
        <v>46195</v>
      </c>
      <c r="E78">
        <v>1413</v>
      </c>
      <c r="F78">
        <v>1560</v>
      </c>
      <c r="G78">
        <v>1340</v>
      </c>
    </row>
    <row r="79" spans="1:7" hidden="1" x14ac:dyDescent="0.35">
      <c r="A79">
        <v>78</v>
      </c>
      <c r="B79" t="s">
        <v>35</v>
      </c>
      <c r="D79" s="1">
        <v>46196</v>
      </c>
      <c r="E79">
        <v>1415</v>
      </c>
      <c r="F79">
        <v>1530</v>
      </c>
      <c r="G79">
        <v>1360</v>
      </c>
    </row>
    <row r="80" spans="1:7" hidden="1" x14ac:dyDescent="0.35">
      <c r="A80">
        <v>79</v>
      </c>
      <c r="B80" t="s">
        <v>110</v>
      </c>
      <c r="D80" s="1">
        <v>46196</v>
      </c>
      <c r="E80">
        <v>2103</v>
      </c>
    </row>
    <row r="81" spans="1:8" hidden="1" x14ac:dyDescent="0.35">
      <c r="A81">
        <v>80</v>
      </c>
      <c r="B81" t="s">
        <v>55</v>
      </c>
      <c r="D81" s="1">
        <v>46196</v>
      </c>
      <c r="E81">
        <v>484</v>
      </c>
    </row>
    <row r="82" spans="1:8" hidden="1" x14ac:dyDescent="0.35">
      <c r="A82">
        <v>81</v>
      </c>
      <c r="B82" t="s">
        <v>36</v>
      </c>
      <c r="D82" s="1">
        <v>46196</v>
      </c>
      <c r="E82">
        <v>1288</v>
      </c>
      <c r="F82">
        <v>1490</v>
      </c>
    </row>
    <row r="83" spans="1:8" hidden="1" x14ac:dyDescent="0.35">
      <c r="A83">
        <v>82</v>
      </c>
      <c r="B83" t="s">
        <v>37</v>
      </c>
      <c r="D83" s="1">
        <v>46196</v>
      </c>
      <c r="E83">
        <v>1336</v>
      </c>
      <c r="F83">
        <v>1620</v>
      </c>
    </row>
    <row r="84" spans="1:8" hidden="1" x14ac:dyDescent="0.35">
      <c r="A84">
        <v>83</v>
      </c>
      <c r="B84" t="s">
        <v>84</v>
      </c>
      <c r="D84" s="1">
        <v>46196</v>
      </c>
      <c r="E84">
        <v>3653</v>
      </c>
      <c r="F84">
        <v>4100</v>
      </c>
      <c r="G84">
        <v>3415</v>
      </c>
    </row>
    <row r="85" spans="1:8" hidden="1" x14ac:dyDescent="0.35">
      <c r="A85">
        <v>84</v>
      </c>
      <c r="B85" t="s">
        <v>88</v>
      </c>
      <c r="D85" s="1">
        <v>46197</v>
      </c>
      <c r="E85">
        <v>454</v>
      </c>
      <c r="F85">
        <v>540</v>
      </c>
    </row>
    <row r="86" spans="1:8" hidden="1" x14ac:dyDescent="0.35">
      <c r="A86">
        <v>85</v>
      </c>
      <c r="B86" t="s">
        <v>89</v>
      </c>
      <c r="D86" s="1">
        <v>46197</v>
      </c>
      <c r="E86">
        <v>12667</v>
      </c>
      <c r="F86">
        <v>15290</v>
      </c>
      <c r="G86">
        <v>11400</v>
      </c>
    </row>
    <row r="87" spans="1:8" hidden="1" x14ac:dyDescent="0.35">
      <c r="A87">
        <v>86</v>
      </c>
      <c r="B87" t="s">
        <v>90</v>
      </c>
      <c r="D87" s="1">
        <v>46197</v>
      </c>
      <c r="E87">
        <v>829</v>
      </c>
      <c r="F87">
        <v>1110</v>
      </c>
    </row>
    <row r="88" spans="1:8" hidden="1" x14ac:dyDescent="0.35">
      <c r="A88">
        <v>87</v>
      </c>
      <c r="B88" t="s">
        <v>91</v>
      </c>
      <c r="D88" s="1">
        <v>46197</v>
      </c>
      <c r="E88">
        <v>3891</v>
      </c>
    </row>
    <row r="89" spans="1:8" hidden="1" x14ac:dyDescent="0.35">
      <c r="A89">
        <v>88</v>
      </c>
      <c r="B89" t="s">
        <v>92</v>
      </c>
      <c r="D89" s="1">
        <v>46197</v>
      </c>
      <c r="E89">
        <v>346</v>
      </c>
    </row>
    <row r="90" spans="1:8" x14ac:dyDescent="0.35">
      <c r="A90">
        <v>89</v>
      </c>
      <c r="B90" t="s">
        <v>81</v>
      </c>
      <c r="D90" s="1">
        <v>46197</v>
      </c>
      <c r="E90">
        <v>1112</v>
      </c>
      <c r="F90">
        <v>1185</v>
      </c>
      <c r="G90">
        <v>1080</v>
      </c>
    </row>
    <row r="91" spans="1:8" hidden="1" x14ac:dyDescent="0.35">
      <c r="A91">
        <v>90</v>
      </c>
      <c r="B91" t="s">
        <v>61</v>
      </c>
      <c r="D91" s="1">
        <v>46197</v>
      </c>
      <c r="E91">
        <v>199</v>
      </c>
      <c r="F91">
        <v>204</v>
      </c>
      <c r="G91">
        <v>197</v>
      </c>
    </row>
    <row r="92" spans="1:8" hidden="1" x14ac:dyDescent="0.35">
      <c r="A92">
        <v>91</v>
      </c>
      <c r="B92" t="s">
        <v>84</v>
      </c>
      <c r="D92" s="1">
        <v>46198</v>
      </c>
      <c r="E92">
        <v>3653</v>
      </c>
      <c r="F92">
        <v>4100</v>
      </c>
      <c r="G92">
        <v>3415</v>
      </c>
    </row>
    <row r="93" spans="1:8" hidden="1" x14ac:dyDescent="0.35">
      <c r="A93">
        <v>92</v>
      </c>
      <c r="B93" t="s">
        <v>110</v>
      </c>
      <c r="D93" s="1">
        <v>46198</v>
      </c>
      <c r="E93">
        <v>2123</v>
      </c>
    </row>
    <row r="94" spans="1:8" hidden="1" x14ac:dyDescent="0.35">
      <c r="A94">
        <v>93</v>
      </c>
      <c r="B94" t="s">
        <v>93</v>
      </c>
      <c r="D94" s="1">
        <v>46198</v>
      </c>
      <c r="E94">
        <v>1019</v>
      </c>
      <c r="F94">
        <v>1175</v>
      </c>
      <c r="H94">
        <v>1033</v>
      </c>
    </row>
    <row r="95" spans="1:8" hidden="1" x14ac:dyDescent="0.35">
      <c r="A95">
        <v>94</v>
      </c>
      <c r="B95" t="s">
        <v>94</v>
      </c>
      <c r="D95" s="1">
        <v>46198</v>
      </c>
      <c r="E95">
        <v>413</v>
      </c>
    </row>
    <row r="96" spans="1:8" hidden="1" x14ac:dyDescent="0.35">
      <c r="A96">
        <v>95</v>
      </c>
      <c r="B96" t="s">
        <v>95</v>
      </c>
      <c r="D96" s="1">
        <v>46198</v>
      </c>
      <c r="E96">
        <v>1384</v>
      </c>
      <c r="F96">
        <v>1441</v>
      </c>
      <c r="G96">
        <v>1350</v>
      </c>
    </row>
    <row r="97" spans="1:7" hidden="1" x14ac:dyDescent="0.35">
      <c r="A97">
        <v>96</v>
      </c>
      <c r="B97" t="s">
        <v>116</v>
      </c>
      <c r="D97" s="1">
        <v>46202</v>
      </c>
      <c r="E97">
        <v>1455</v>
      </c>
      <c r="F97">
        <v>1570</v>
      </c>
      <c r="G97">
        <v>1380</v>
      </c>
    </row>
    <row r="98" spans="1:7" hidden="1" x14ac:dyDescent="0.35">
      <c r="A98">
        <v>97</v>
      </c>
      <c r="B98" t="s">
        <v>96</v>
      </c>
      <c r="D98" s="1">
        <v>46202</v>
      </c>
      <c r="E98">
        <v>13735</v>
      </c>
    </row>
    <row r="99" spans="1:7" hidden="1" x14ac:dyDescent="0.35">
      <c r="A99">
        <v>98</v>
      </c>
      <c r="B99" t="s">
        <v>97</v>
      </c>
      <c r="D99" s="1">
        <v>46202</v>
      </c>
      <c r="E99">
        <v>391</v>
      </c>
    </row>
    <row r="100" spans="1:7" hidden="1" x14ac:dyDescent="0.35">
      <c r="A100">
        <v>99</v>
      </c>
      <c r="B100" t="s">
        <v>98</v>
      </c>
      <c r="D100" s="1">
        <v>46202</v>
      </c>
      <c r="E100">
        <v>1231</v>
      </c>
      <c r="F100">
        <v>1520</v>
      </c>
    </row>
    <row r="101" spans="1:7" hidden="1" x14ac:dyDescent="0.35">
      <c r="A101">
        <v>100</v>
      </c>
      <c r="B101" t="s">
        <v>99</v>
      </c>
      <c r="D101" s="1">
        <v>46202</v>
      </c>
      <c r="E101">
        <v>575</v>
      </c>
      <c r="F101">
        <v>700</v>
      </c>
    </row>
    <row r="102" spans="1:7" hidden="1" x14ac:dyDescent="0.35">
      <c r="A102">
        <v>101</v>
      </c>
      <c r="B102" t="s">
        <v>115</v>
      </c>
      <c r="D102" s="1">
        <v>46202</v>
      </c>
      <c r="E102">
        <v>1132</v>
      </c>
      <c r="F102">
        <v>1329</v>
      </c>
      <c r="G102">
        <v>1035</v>
      </c>
    </row>
    <row r="103" spans="1:7" hidden="1" x14ac:dyDescent="0.35">
      <c r="A103">
        <v>102</v>
      </c>
      <c r="B103" t="s">
        <v>93</v>
      </c>
      <c r="D103" s="1">
        <v>46202</v>
      </c>
      <c r="E103">
        <v>1046</v>
      </c>
      <c r="F103">
        <v>1205</v>
      </c>
      <c r="G103">
        <v>968</v>
      </c>
    </row>
    <row r="104" spans="1:7" hidden="1" x14ac:dyDescent="0.35">
      <c r="A104">
        <v>103</v>
      </c>
      <c r="B104" t="s">
        <v>87</v>
      </c>
      <c r="D104" s="1">
        <v>46204</v>
      </c>
      <c r="E104">
        <v>2441</v>
      </c>
      <c r="F104">
        <v>2750</v>
      </c>
    </row>
    <row r="105" spans="1:7" hidden="1" x14ac:dyDescent="0.35">
      <c r="A105">
        <v>104</v>
      </c>
      <c r="B105" t="s">
        <v>100</v>
      </c>
      <c r="D105" s="1">
        <v>46204</v>
      </c>
      <c r="E105">
        <v>840</v>
      </c>
    </row>
    <row r="106" spans="1:7" hidden="1" x14ac:dyDescent="0.35">
      <c r="A106">
        <v>105</v>
      </c>
      <c r="B106" t="s">
        <v>101</v>
      </c>
      <c r="D106" s="1">
        <v>46204</v>
      </c>
      <c r="E106">
        <v>802</v>
      </c>
    </row>
    <row r="107" spans="1:7" hidden="1" x14ac:dyDescent="0.35">
      <c r="A107">
        <v>106</v>
      </c>
      <c r="B107" t="s">
        <v>102</v>
      </c>
      <c r="D107" s="1">
        <v>46204</v>
      </c>
      <c r="E107">
        <v>4628</v>
      </c>
      <c r="F107">
        <v>4850</v>
      </c>
      <c r="G107">
        <v>4500</v>
      </c>
    </row>
    <row r="108" spans="1:7" hidden="1" x14ac:dyDescent="0.35">
      <c r="A108">
        <v>107</v>
      </c>
      <c r="B108" t="s">
        <v>103</v>
      </c>
      <c r="D108" s="1">
        <v>46205</v>
      </c>
      <c r="E108">
        <v>1396</v>
      </c>
      <c r="F108">
        <v>1940</v>
      </c>
    </row>
    <row r="109" spans="1:7" hidden="1" x14ac:dyDescent="0.35">
      <c r="A109">
        <v>108</v>
      </c>
      <c r="B109" t="s">
        <v>104</v>
      </c>
      <c r="D109" s="1">
        <v>46205</v>
      </c>
      <c r="E109">
        <v>1503</v>
      </c>
      <c r="F109">
        <v>1780</v>
      </c>
    </row>
    <row r="110" spans="1:7" hidden="1" x14ac:dyDescent="0.35">
      <c r="A110">
        <v>109</v>
      </c>
      <c r="B110" t="s">
        <v>112</v>
      </c>
      <c r="D110" s="1">
        <v>46205</v>
      </c>
      <c r="E110">
        <v>976</v>
      </c>
    </row>
    <row r="111" spans="1:7" hidden="1" x14ac:dyDescent="0.35">
      <c r="A111">
        <v>110</v>
      </c>
      <c r="B111" t="s">
        <v>55</v>
      </c>
      <c r="D111" s="1">
        <v>46205</v>
      </c>
      <c r="E111">
        <v>508</v>
      </c>
    </row>
    <row r="112" spans="1:7" hidden="1" x14ac:dyDescent="0.35">
      <c r="A112">
        <v>111</v>
      </c>
      <c r="B112" t="s">
        <v>23</v>
      </c>
      <c r="D112" s="1">
        <v>46205</v>
      </c>
      <c r="E112">
        <v>1628</v>
      </c>
      <c r="F112">
        <v>1760</v>
      </c>
      <c r="G112">
        <v>1540</v>
      </c>
    </row>
    <row r="113" spans="1:9" hidden="1" x14ac:dyDescent="0.35">
      <c r="A113">
        <v>112</v>
      </c>
      <c r="B113" t="s">
        <v>103</v>
      </c>
      <c r="D113" s="1">
        <v>46206</v>
      </c>
      <c r="E113">
        <v>1412</v>
      </c>
      <c r="F113">
        <v>1586</v>
      </c>
      <c r="G113">
        <v>1331</v>
      </c>
    </row>
    <row r="114" spans="1:9" hidden="1" x14ac:dyDescent="0.35">
      <c r="A114">
        <v>113</v>
      </c>
      <c r="B114" t="s">
        <v>105</v>
      </c>
      <c r="D114" s="1">
        <v>46206</v>
      </c>
      <c r="E114">
        <v>1018</v>
      </c>
    </row>
    <row r="115" spans="1:9" hidden="1" x14ac:dyDescent="0.35">
      <c r="A115">
        <v>114</v>
      </c>
      <c r="B115" t="s">
        <v>100</v>
      </c>
      <c r="D115" s="1">
        <v>46206</v>
      </c>
      <c r="E115">
        <v>856</v>
      </c>
      <c r="F115">
        <v>950</v>
      </c>
    </row>
    <row r="116" spans="1:9" hidden="1" x14ac:dyDescent="0.35">
      <c r="A116">
        <v>115</v>
      </c>
      <c r="B116" t="s">
        <v>106</v>
      </c>
      <c r="D116" s="1">
        <v>46206</v>
      </c>
      <c r="E116">
        <v>1027</v>
      </c>
    </row>
    <row r="117" spans="1:9" hidden="1" x14ac:dyDescent="0.35">
      <c r="A117">
        <v>116</v>
      </c>
      <c r="B117" t="s">
        <v>107</v>
      </c>
      <c r="D117" s="1">
        <v>46206</v>
      </c>
      <c r="E117">
        <v>1360</v>
      </c>
    </row>
    <row r="118" spans="1:9" hidden="1" x14ac:dyDescent="0.35">
      <c r="A118">
        <v>117</v>
      </c>
      <c r="B118" t="s">
        <v>62</v>
      </c>
      <c r="D118" s="1">
        <v>46206</v>
      </c>
      <c r="E118">
        <v>1882</v>
      </c>
      <c r="F118">
        <v>2017</v>
      </c>
      <c r="G118">
        <v>1810</v>
      </c>
    </row>
    <row r="119" spans="1:9" hidden="1" x14ac:dyDescent="0.35">
      <c r="A119">
        <v>118</v>
      </c>
      <c r="B119" t="s">
        <v>40</v>
      </c>
      <c r="D119" s="1">
        <v>46209</v>
      </c>
      <c r="E119">
        <v>235</v>
      </c>
      <c r="F119">
        <v>288</v>
      </c>
    </row>
    <row r="120" spans="1:9" hidden="1" x14ac:dyDescent="0.35">
      <c r="A120">
        <v>119</v>
      </c>
      <c r="B120" t="s">
        <v>41</v>
      </c>
      <c r="D120" s="1">
        <v>46209</v>
      </c>
      <c r="E120">
        <v>548</v>
      </c>
      <c r="F120">
        <v>612</v>
      </c>
      <c r="G120">
        <v>514</v>
      </c>
    </row>
    <row r="121" spans="1:9" hidden="1" x14ac:dyDescent="0.35">
      <c r="A121">
        <v>120</v>
      </c>
      <c r="B121" t="s">
        <v>42</v>
      </c>
      <c r="D121" s="1">
        <v>46209</v>
      </c>
      <c r="E121">
        <v>310</v>
      </c>
    </row>
    <row r="122" spans="1:9" hidden="1" x14ac:dyDescent="0.35">
      <c r="A122">
        <v>121</v>
      </c>
      <c r="B122" t="s">
        <v>85</v>
      </c>
      <c r="D122" s="1">
        <v>46210</v>
      </c>
      <c r="E122">
        <v>352</v>
      </c>
    </row>
    <row r="123" spans="1:9" hidden="1" x14ac:dyDescent="0.35">
      <c r="A123">
        <v>122</v>
      </c>
      <c r="B123" t="s">
        <v>108</v>
      </c>
      <c r="D123" s="1">
        <v>46210</v>
      </c>
      <c r="E123">
        <v>4484</v>
      </c>
      <c r="F123">
        <v>5250</v>
      </c>
    </row>
    <row r="124" spans="1:9" hidden="1" x14ac:dyDescent="0.35">
      <c r="A124">
        <v>123</v>
      </c>
      <c r="B124" t="s">
        <v>12</v>
      </c>
      <c r="D124" s="1">
        <v>46210</v>
      </c>
      <c r="E124">
        <v>2246</v>
      </c>
    </row>
    <row r="125" spans="1:9" hidden="1" x14ac:dyDescent="0.35">
      <c r="A125">
        <v>124</v>
      </c>
      <c r="B125" t="s">
        <v>43</v>
      </c>
      <c r="D125" s="1">
        <v>46210</v>
      </c>
      <c r="E125">
        <v>78</v>
      </c>
    </row>
    <row r="126" spans="1:9" hidden="1" x14ac:dyDescent="0.35">
      <c r="A126">
        <v>125</v>
      </c>
      <c r="B126" t="s">
        <v>114</v>
      </c>
      <c r="D126" s="1">
        <v>46210</v>
      </c>
      <c r="E126">
        <v>3213</v>
      </c>
      <c r="F126">
        <v>3367</v>
      </c>
      <c r="G126">
        <v>3130</v>
      </c>
    </row>
    <row r="127" spans="1:9" hidden="1" x14ac:dyDescent="0.35">
      <c r="A127">
        <v>126</v>
      </c>
      <c r="B127" s="2" t="s">
        <v>32</v>
      </c>
      <c r="C127" s="2"/>
      <c r="D127" s="9">
        <v>46211</v>
      </c>
      <c r="E127" s="2">
        <v>289</v>
      </c>
      <c r="F127" s="2">
        <v>310</v>
      </c>
      <c r="G127" s="2">
        <v>278</v>
      </c>
      <c r="H127" s="9">
        <v>46231</v>
      </c>
      <c r="I127">
        <f>H127-D127+1</f>
        <v>21</v>
      </c>
    </row>
    <row r="128" spans="1:9" hidden="1" x14ac:dyDescent="0.35">
      <c r="A128">
        <v>127</v>
      </c>
      <c r="B128" t="s">
        <v>9</v>
      </c>
      <c r="D128" s="1">
        <v>46211</v>
      </c>
      <c r="E128">
        <v>1516</v>
      </c>
    </row>
    <row r="129" spans="1:9" hidden="1" x14ac:dyDescent="0.35">
      <c r="A129">
        <v>128</v>
      </c>
      <c r="B129" t="s">
        <v>117</v>
      </c>
      <c r="D129" s="1">
        <v>46211</v>
      </c>
      <c r="E129">
        <v>1110</v>
      </c>
    </row>
    <row r="130" spans="1:9" hidden="1" x14ac:dyDescent="0.35">
      <c r="A130">
        <v>129</v>
      </c>
      <c r="B130" t="s">
        <v>100</v>
      </c>
      <c r="D130" s="1">
        <v>46211</v>
      </c>
      <c r="E130">
        <v>848</v>
      </c>
      <c r="F130">
        <v>1000</v>
      </c>
    </row>
    <row r="131" spans="1:9" hidden="1" x14ac:dyDescent="0.35">
      <c r="A131">
        <v>130</v>
      </c>
      <c r="B131" t="s">
        <v>118</v>
      </c>
      <c r="D131" s="1">
        <v>46211</v>
      </c>
      <c r="E131">
        <v>1785</v>
      </c>
    </row>
    <row r="132" spans="1:9" hidden="1" x14ac:dyDescent="0.35">
      <c r="A132">
        <v>131</v>
      </c>
      <c r="B132" t="s">
        <v>42</v>
      </c>
      <c r="C132" t="s">
        <v>124</v>
      </c>
      <c r="D132" s="1">
        <v>46211</v>
      </c>
      <c r="E132">
        <v>317</v>
      </c>
      <c r="F132">
        <v>370</v>
      </c>
      <c r="G132">
        <v>290</v>
      </c>
    </row>
    <row r="133" spans="1:9" hidden="1" x14ac:dyDescent="0.35">
      <c r="A133">
        <v>132</v>
      </c>
      <c r="B133" t="s">
        <v>88</v>
      </c>
      <c r="D133" s="1">
        <v>46212</v>
      </c>
      <c r="E133">
        <v>415</v>
      </c>
      <c r="F133">
        <v>540</v>
      </c>
    </row>
    <row r="134" spans="1:9" hidden="1" x14ac:dyDescent="0.35">
      <c r="A134">
        <v>133</v>
      </c>
      <c r="B134" t="s">
        <v>119</v>
      </c>
      <c r="D134" s="1">
        <v>46212</v>
      </c>
      <c r="E134">
        <v>1132</v>
      </c>
      <c r="F134">
        <v>1406</v>
      </c>
    </row>
    <row r="135" spans="1:9" hidden="1" x14ac:dyDescent="0.35">
      <c r="A135">
        <v>134</v>
      </c>
      <c r="B135" t="s">
        <v>120</v>
      </c>
      <c r="D135" s="1">
        <v>46212</v>
      </c>
      <c r="E135">
        <v>421</v>
      </c>
    </row>
    <row r="136" spans="1:9" hidden="1" x14ac:dyDescent="0.35">
      <c r="A136">
        <v>135</v>
      </c>
      <c r="B136" s="2" t="s">
        <v>121</v>
      </c>
      <c r="C136" s="2" t="s">
        <v>123</v>
      </c>
      <c r="D136" s="9">
        <v>46212</v>
      </c>
      <c r="E136" s="2">
        <v>1200</v>
      </c>
      <c r="F136" s="2">
        <v>1300</v>
      </c>
      <c r="G136" s="2">
        <v>1150</v>
      </c>
      <c r="H136" s="9">
        <v>46219</v>
      </c>
      <c r="I136">
        <f>H136-D136+1</f>
        <v>8</v>
      </c>
    </row>
    <row r="137" spans="1:9" hidden="1" x14ac:dyDescent="0.35">
      <c r="A137">
        <v>136</v>
      </c>
      <c r="B137" t="s">
        <v>42</v>
      </c>
      <c r="C137" t="s">
        <v>124</v>
      </c>
      <c r="D137" s="1">
        <v>46213</v>
      </c>
      <c r="E137">
        <v>317</v>
      </c>
      <c r="F137">
        <v>370</v>
      </c>
      <c r="G137">
        <v>290</v>
      </c>
    </row>
    <row r="138" spans="1:9" hidden="1" x14ac:dyDescent="0.35">
      <c r="A138">
        <v>137</v>
      </c>
      <c r="B138" t="s">
        <v>67</v>
      </c>
      <c r="C138" t="s">
        <v>125</v>
      </c>
      <c r="D138" s="1">
        <v>46213</v>
      </c>
      <c r="E138">
        <v>328</v>
      </c>
      <c r="F138">
        <v>375</v>
      </c>
    </row>
    <row r="139" spans="1:9" hidden="1" x14ac:dyDescent="0.35">
      <c r="A139">
        <v>138</v>
      </c>
      <c r="B139" t="s">
        <v>89</v>
      </c>
      <c r="C139" t="s">
        <v>125</v>
      </c>
      <c r="D139" s="1">
        <v>46213</v>
      </c>
      <c r="E139">
        <v>13477</v>
      </c>
      <c r="F139">
        <v>16100</v>
      </c>
    </row>
    <row r="140" spans="1:9" hidden="1" x14ac:dyDescent="0.35">
      <c r="A140">
        <v>139</v>
      </c>
      <c r="B140" t="s">
        <v>33</v>
      </c>
      <c r="C140" t="s">
        <v>126</v>
      </c>
      <c r="D140" s="1">
        <v>46213</v>
      </c>
      <c r="E140">
        <v>1507</v>
      </c>
    </row>
    <row r="141" spans="1:9" hidden="1" x14ac:dyDescent="0.35">
      <c r="A141">
        <v>140</v>
      </c>
      <c r="B141" t="s">
        <v>128</v>
      </c>
      <c r="D141" s="1">
        <v>46213</v>
      </c>
      <c r="E141">
        <v>1954</v>
      </c>
    </row>
    <row r="142" spans="1:9" hidden="1" x14ac:dyDescent="0.35">
      <c r="A142">
        <v>141</v>
      </c>
      <c r="B142" t="s">
        <v>127</v>
      </c>
      <c r="C142" t="s">
        <v>126</v>
      </c>
      <c r="D142" s="1">
        <v>46213</v>
      </c>
      <c r="E142">
        <v>3429</v>
      </c>
      <c r="F142">
        <v>3715</v>
      </c>
      <c r="G142">
        <v>3290</v>
      </c>
    </row>
    <row r="143" spans="1:9" hidden="1" x14ac:dyDescent="0.35">
      <c r="A143">
        <v>142</v>
      </c>
      <c r="B143" t="s">
        <v>129</v>
      </c>
      <c r="C143" t="s">
        <v>132</v>
      </c>
      <c r="D143" s="1">
        <v>46216</v>
      </c>
      <c r="E143">
        <v>1431</v>
      </c>
      <c r="F143">
        <v>1520</v>
      </c>
      <c r="G143">
        <v>1380</v>
      </c>
    </row>
    <row r="144" spans="1:9" hidden="1" x14ac:dyDescent="0.35">
      <c r="A144">
        <v>143</v>
      </c>
      <c r="B144" t="s">
        <v>130</v>
      </c>
      <c r="C144" t="s">
        <v>132</v>
      </c>
      <c r="D144" s="1">
        <v>46216</v>
      </c>
    </row>
    <row r="145" spans="1:9" hidden="1" x14ac:dyDescent="0.35">
      <c r="A145">
        <v>144</v>
      </c>
      <c r="B145" t="s">
        <v>131</v>
      </c>
      <c r="D145" s="1">
        <v>46216</v>
      </c>
    </row>
    <row r="146" spans="1:9" hidden="1" x14ac:dyDescent="0.35">
      <c r="A146">
        <v>145</v>
      </c>
      <c r="B146" t="s">
        <v>133</v>
      </c>
      <c r="D146" s="1">
        <v>46216</v>
      </c>
      <c r="E146">
        <v>321</v>
      </c>
      <c r="F146">
        <v>370</v>
      </c>
    </row>
    <row r="147" spans="1:9" hidden="1" x14ac:dyDescent="0.35">
      <c r="A147">
        <v>146</v>
      </c>
      <c r="B147" t="s">
        <v>134</v>
      </c>
      <c r="D147" s="1">
        <v>46216</v>
      </c>
      <c r="E147">
        <v>871</v>
      </c>
      <c r="F147">
        <v>1025</v>
      </c>
    </row>
    <row r="148" spans="1:9" hidden="1" x14ac:dyDescent="0.35">
      <c r="A148">
        <v>147</v>
      </c>
      <c r="B148" t="s">
        <v>93</v>
      </c>
      <c r="C148" t="s">
        <v>124</v>
      </c>
      <c r="D148" s="1">
        <v>46216</v>
      </c>
      <c r="E148">
        <v>1046</v>
      </c>
      <c r="F148">
        <v>1205</v>
      </c>
      <c r="G148">
        <v>968</v>
      </c>
    </row>
    <row r="149" spans="1:9" hidden="1" x14ac:dyDescent="0.35">
      <c r="A149">
        <v>148</v>
      </c>
      <c r="B149" t="s">
        <v>135</v>
      </c>
      <c r="D149" s="1">
        <v>46217</v>
      </c>
      <c r="E149">
        <v>760</v>
      </c>
      <c r="F149">
        <v>830</v>
      </c>
      <c r="G149">
        <v>727</v>
      </c>
    </row>
    <row r="150" spans="1:9" hidden="1" x14ac:dyDescent="0.35">
      <c r="A150">
        <v>149</v>
      </c>
      <c r="B150" t="s">
        <v>136</v>
      </c>
      <c r="C150" t="s">
        <v>137</v>
      </c>
      <c r="D150" s="1">
        <v>46217</v>
      </c>
      <c r="E150">
        <v>351</v>
      </c>
    </row>
    <row r="151" spans="1:9" hidden="1" x14ac:dyDescent="0.35">
      <c r="A151">
        <v>150</v>
      </c>
      <c r="B151" t="s">
        <v>138</v>
      </c>
      <c r="D151" s="1">
        <v>46217</v>
      </c>
      <c r="E151">
        <v>308</v>
      </c>
    </row>
    <row r="152" spans="1:9" hidden="1" x14ac:dyDescent="0.35">
      <c r="A152">
        <v>151</v>
      </c>
      <c r="B152" t="s">
        <v>139</v>
      </c>
      <c r="D152" s="1">
        <v>46217</v>
      </c>
      <c r="E152">
        <v>3206</v>
      </c>
      <c r="F152">
        <v>3800</v>
      </c>
    </row>
    <row r="153" spans="1:9" hidden="1" x14ac:dyDescent="0.35">
      <c r="A153">
        <v>152</v>
      </c>
      <c r="B153" t="s">
        <v>140</v>
      </c>
      <c r="D153" s="1">
        <v>46217</v>
      </c>
      <c r="E153">
        <v>1221</v>
      </c>
      <c r="F153">
        <v>1450</v>
      </c>
    </row>
    <row r="154" spans="1:9" hidden="1" x14ac:dyDescent="0.35">
      <c r="A154">
        <v>153</v>
      </c>
      <c r="B154" t="s">
        <v>141</v>
      </c>
      <c r="C154" t="s">
        <v>125</v>
      </c>
      <c r="D154" s="1">
        <v>46218</v>
      </c>
      <c r="E154">
        <v>168</v>
      </c>
      <c r="F154">
        <v>200</v>
      </c>
    </row>
    <row r="155" spans="1:9" hidden="1" x14ac:dyDescent="0.35">
      <c r="A155">
        <v>154</v>
      </c>
      <c r="B155" t="s">
        <v>142</v>
      </c>
      <c r="C155" t="s">
        <v>143</v>
      </c>
      <c r="D155" s="1">
        <v>46218</v>
      </c>
      <c r="E155">
        <v>449</v>
      </c>
      <c r="F155">
        <v>565</v>
      </c>
    </row>
    <row r="156" spans="1:9" hidden="1" x14ac:dyDescent="0.35">
      <c r="A156">
        <v>155</v>
      </c>
      <c r="B156" t="s">
        <v>144</v>
      </c>
      <c r="C156" t="s">
        <v>145</v>
      </c>
      <c r="D156" s="1">
        <v>46218</v>
      </c>
      <c r="E156">
        <v>1604</v>
      </c>
    </row>
    <row r="157" spans="1:9" hidden="1" x14ac:dyDescent="0.35">
      <c r="A157">
        <v>156</v>
      </c>
      <c r="B157" t="s">
        <v>146</v>
      </c>
      <c r="C157" t="s">
        <v>145</v>
      </c>
      <c r="D157" s="1">
        <v>46218</v>
      </c>
      <c r="E157">
        <v>1826</v>
      </c>
    </row>
    <row r="158" spans="1:9" hidden="1" x14ac:dyDescent="0.35">
      <c r="A158">
        <v>157</v>
      </c>
      <c r="B158" s="2" t="s">
        <v>147</v>
      </c>
      <c r="C158" s="2" t="s">
        <v>126</v>
      </c>
      <c r="D158" s="9">
        <v>46218</v>
      </c>
      <c r="E158" s="2">
        <v>1840</v>
      </c>
      <c r="F158" s="2">
        <v>1930</v>
      </c>
      <c r="G158" s="2">
        <v>1790</v>
      </c>
      <c r="H158" s="9">
        <v>46220</v>
      </c>
      <c r="I158">
        <f>H158-D158+1</f>
        <v>3</v>
      </c>
    </row>
    <row r="159" spans="1:9" hidden="1" x14ac:dyDescent="0.35">
      <c r="A159">
        <v>158</v>
      </c>
      <c r="B159" s="2" t="s">
        <v>146</v>
      </c>
      <c r="C159" s="2" t="s">
        <v>148</v>
      </c>
      <c r="D159" s="9">
        <v>46219</v>
      </c>
      <c r="E159" s="2">
        <v>1860</v>
      </c>
      <c r="F159" s="2">
        <v>1980</v>
      </c>
      <c r="G159" s="2">
        <v>1800</v>
      </c>
      <c r="H159" s="9">
        <v>46230</v>
      </c>
      <c r="I159">
        <f>H159-D159+1</f>
        <v>12</v>
      </c>
    </row>
    <row r="160" spans="1:9" hidden="1" x14ac:dyDescent="0.35">
      <c r="A160">
        <v>159</v>
      </c>
      <c r="B160" t="s">
        <v>149</v>
      </c>
      <c r="C160" t="s">
        <v>145</v>
      </c>
      <c r="D160" s="1">
        <v>46219</v>
      </c>
      <c r="E160">
        <v>7203</v>
      </c>
    </row>
    <row r="161" spans="1:9" hidden="1" x14ac:dyDescent="0.35">
      <c r="A161">
        <v>160</v>
      </c>
      <c r="B161" t="s">
        <v>150</v>
      </c>
      <c r="C161" t="s">
        <v>145</v>
      </c>
      <c r="D161" s="1">
        <v>46219</v>
      </c>
      <c r="E161">
        <v>4133</v>
      </c>
    </row>
    <row r="162" spans="1:9" hidden="1" x14ac:dyDescent="0.35">
      <c r="A162">
        <v>161</v>
      </c>
      <c r="B162" t="s">
        <v>151</v>
      </c>
      <c r="C162" t="s">
        <v>143</v>
      </c>
      <c r="D162" s="1">
        <v>46219</v>
      </c>
      <c r="E162">
        <v>1204</v>
      </c>
      <c r="F162">
        <v>1530</v>
      </c>
    </row>
    <row r="163" spans="1:9" hidden="1" x14ac:dyDescent="0.35">
      <c r="A163">
        <v>162</v>
      </c>
      <c r="B163" t="s">
        <v>61</v>
      </c>
      <c r="C163" t="s">
        <v>125</v>
      </c>
      <c r="D163" s="1">
        <v>46219</v>
      </c>
      <c r="E163">
        <v>216</v>
      </c>
      <c r="F163">
        <v>250</v>
      </c>
    </row>
    <row r="164" spans="1:9" hidden="1" x14ac:dyDescent="0.35">
      <c r="A164">
        <v>163</v>
      </c>
      <c r="B164" t="s">
        <v>115</v>
      </c>
      <c r="C164" t="s">
        <v>124</v>
      </c>
      <c r="D164" s="1">
        <v>46219</v>
      </c>
      <c r="E164">
        <v>1132</v>
      </c>
      <c r="F164">
        <v>1329</v>
      </c>
      <c r="G164">
        <v>1035</v>
      </c>
    </row>
    <row r="165" spans="1:9" hidden="1" x14ac:dyDescent="0.35">
      <c r="A165">
        <v>164</v>
      </c>
      <c r="B165" t="s">
        <v>152</v>
      </c>
      <c r="D165" s="1">
        <v>46220</v>
      </c>
      <c r="E165">
        <v>350</v>
      </c>
      <c r="F165">
        <v>420</v>
      </c>
    </row>
    <row r="166" spans="1:9" hidden="1" x14ac:dyDescent="0.35">
      <c r="A166">
        <v>165</v>
      </c>
      <c r="B166" t="s">
        <v>153</v>
      </c>
      <c r="D166" s="1">
        <v>46220</v>
      </c>
      <c r="E166">
        <v>1510</v>
      </c>
      <c r="F166">
        <v>1900</v>
      </c>
    </row>
    <row r="167" spans="1:9" hidden="1" x14ac:dyDescent="0.35">
      <c r="A167">
        <v>166</v>
      </c>
      <c r="B167" t="s">
        <v>154</v>
      </c>
      <c r="D167" s="1">
        <v>46220</v>
      </c>
      <c r="E167">
        <v>2185</v>
      </c>
      <c r="F167">
        <v>2620</v>
      </c>
    </row>
    <row r="168" spans="1:9" hidden="1" x14ac:dyDescent="0.35">
      <c r="A168">
        <v>167</v>
      </c>
      <c r="B168" t="s">
        <v>155</v>
      </c>
      <c r="D168" s="1">
        <v>46220</v>
      </c>
    </row>
    <row r="169" spans="1:9" hidden="1" x14ac:dyDescent="0.35">
      <c r="A169">
        <v>168</v>
      </c>
      <c r="B169" t="s">
        <v>156</v>
      </c>
      <c r="D169" s="1">
        <v>46220</v>
      </c>
    </row>
    <row r="170" spans="1:9" hidden="1" x14ac:dyDescent="0.35">
      <c r="A170">
        <v>169</v>
      </c>
      <c r="B170" s="2" t="s">
        <v>157</v>
      </c>
      <c r="C170" s="2"/>
      <c r="D170" s="9">
        <v>46220</v>
      </c>
      <c r="E170" s="2">
        <v>725</v>
      </c>
      <c r="F170" s="2">
        <v>780</v>
      </c>
      <c r="G170" s="2">
        <v>695</v>
      </c>
      <c r="H170" s="9">
        <v>46226</v>
      </c>
      <c r="I170">
        <f t="shared" ref="I170:I171" si="0">H170-D170+1</f>
        <v>7</v>
      </c>
    </row>
    <row r="171" spans="1:9" hidden="1" x14ac:dyDescent="0.35">
      <c r="A171">
        <v>170</v>
      </c>
      <c r="B171" s="2" t="s">
        <v>120</v>
      </c>
      <c r="C171" s="2" t="s">
        <v>123</v>
      </c>
      <c r="D171" s="9">
        <v>46223</v>
      </c>
      <c r="E171" s="2">
        <v>435</v>
      </c>
      <c r="F171" s="2">
        <v>475</v>
      </c>
      <c r="G171" s="2">
        <v>415</v>
      </c>
      <c r="H171" s="9">
        <v>46239</v>
      </c>
      <c r="I171">
        <f t="shared" si="0"/>
        <v>17</v>
      </c>
    </row>
    <row r="172" spans="1:9" hidden="1" x14ac:dyDescent="0.35">
      <c r="A172">
        <v>171</v>
      </c>
      <c r="B172" t="s">
        <v>138</v>
      </c>
      <c r="D172" s="1">
        <v>46223</v>
      </c>
      <c r="E172">
        <v>310</v>
      </c>
    </row>
    <row r="173" spans="1:9" hidden="1" x14ac:dyDescent="0.35">
      <c r="A173">
        <v>172</v>
      </c>
      <c r="B173" t="s">
        <v>158</v>
      </c>
      <c r="D173" s="1">
        <v>46223</v>
      </c>
      <c r="E173">
        <v>204</v>
      </c>
    </row>
    <row r="174" spans="1:9" hidden="1" x14ac:dyDescent="0.35">
      <c r="A174">
        <v>173</v>
      </c>
      <c r="B174" t="s">
        <v>159</v>
      </c>
      <c r="D174" s="1">
        <v>46223</v>
      </c>
      <c r="E174">
        <v>1444</v>
      </c>
      <c r="F174">
        <v>1750</v>
      </c>
    </row>
    <row r="175" spans="1:9" hidden="1" x14ac:dyDescent="0.35">
      <c r="A175">
        <v>174</v>
      </c>
      <c r="B175" t="s">
        <v>160</v>
      </c>
      <c r="D175" s="1">
        <v>46223</v>
      </c>
      <c r="E175">
        <v>1237</v>
      </c>
      <c r="F175">
        <v>1470</v>
      </c>
    </row>
    <row r="176" spans="1:9" hidden="1" x14ac:dyDescent="0.35">
      <c r="A176">
        <v>175</v>
      </c>
      <c r="B176" t="s">
        <v>161</v>
      </c>
      <c r="D176" s="1">
        <v>46223</v>
      </c>
      <c r="E176">
        <v>1412</v>
      </c>
      <c r="F176">
        <v>1586</v>
      </c>
    </row>
    <row r="177" spans="1:9" hidden="1" x14ac:dyDescent="0.35">
      <c r="A177">
        <v>176</v>
      </c>
      <c r="B177" t="s">
        <v>162</v>
      </c>
      <c r="C177" t="s">
        <v>123</v>
      </c>
      <c r="D177" s="1">
        <v>46223</v>
      </c>
      <c r="E177">
        <v>3388</v>
      </c>
      <c r="F177">
        <v>3684</v>
      </c>
      <c r="G177">
        <v>3240</v>
      </c>
    </row>
    <row r="178" spans="1:9" hidden="1" x14ac:dyDescent="0.35">
      <c r="A178">
        <v>177</v>
      </c>
      <c r="B178" t="s">
        <v>163</v>
      </c>
      <c r="D178" s="1">
        <v>46224</v>
      </c>
      <c r="E178">
        <v>1348</v>
      </c>
    </row>
    <row r="179" spans="1:9" hidden="1" x14ac:dyDescent="0.35">
      <c r="A179">
        <v>178</v>
      </c>
      <c r="B179" t="s">
        <v>164</v>
      </c>
      <c r="D179" s="1">
        <v>46224</v>
      </c>
      <c r="E179">
        <v>1862</v>
      </c>
      <c r="F179">
        <v>2260</v>
      </c>
    </row>
    <row r="180" spans="1:9" hidden="1" x14ac:dyDescent="0.35">
      <c r="A180">
        <v>179</v>
      </c>
      <c r="B180" s="2" t="s">
        <v>165</v>
      </c>
      <c r="C180" s="2"/>
      <c r="D180" s="9">
        <v>46224</v>
      </c>
      <c r="E180" s="2">
        <v>1908</v>
      </c>
      <c r="F180" s="2">
        <v>2070</v>
      </c>
      <c r="G180" s="2">
        <v>1800</v>
      </c>
      <c r="H180" s="9">
        <v>46234</v>
      </c>
      <c r="I180">
        <f>H180-D180+1</f>
        <v>11</v>
      </c>
    </row>
    <row r="181" spans="1:9" hidden="1" x14ac:dyDescent="0.35">
      <c r="A181">
        <v>180</v>
      </c>
      <c r="B181" t="s">
        <v>166</v>
      </c>
      <c r="D181" s="1">
        <v>46224</v>
      </c>
    </row>
    <row r="182" spans="1:9" hidden="1" x14ac:dyDescent="0.35">
      <c r="A182">
        <v>181</v>
      </c>
      <c r="B182" t="s">
        <v>167</v>
      </c>
      <c r="D182" s="1">
        <v>46224</v>
      </c>
    </row>
    <row r="183" spans="1:9" hidden="1" x14ac:dyDescent="0.35">
      <c r="A183">
        <v>182</v>
      </c>
      <c r="B183" t="s">
        <v>168</v>
      </c>
      <c r="D183" s="1">
        <v>46225</v>
      </c>
      <c r="E183">
        <v>623</v>
      </c>
      <c r="F183">
        <v>800</v>
      </c>
    </row>
    <row r="184" spans="1:9" hidden="1" x14ac:dyDescent="0.35">
      <c r="A184">
        <v>183</v>
      </c>
      <c r="B184" t="s">
        <v>169</v>
      </c>
      <c r="D184" s="1">
        <v>46225</v>
      </c>
      <c r="E184">
        <v>10404</v>
      </c>
      <c r="F184">
        <v>12096</v>
      </c>
    </row>
    <row r="185" spans="1:9" hidden="1" x14ac:dyDescent="0.35">
      <c r="A185">
        <v>184</v>
      </c>
      <c r="B185" s="2" t="s">
        <v>170</v>
      </c>
      <c r="C185" s="2"/>
      <c r="D185" s="9">
        <v>46225</v>
      </c>
      <c r="E185" s="2">
        <v>4582</v>
      </c>
      <c r="F185" s="2">
        <v>4717</v>
      </c>
      <c r="G185" s="2">
        <v>4450</v>
      </c>
      <c r="H185" s="9">
        <v>46238</v>
      </c>
      <c r="I185">
        <f>H185-D185+1</f>
        <v>14</v>
      </c>
    </row>
    <row r="186" spans="1:9" hidden="1" x14ac:dyDescent="0.35">
      <c r="A186">
        <v>185</v>
      </c>
      <c r="B186" t="s">
        <v>54</v>
      </c>
      <c r="D186" s="1">
        <v>46225</v>
      </c>
    </row>
    <row r="187" spans="1:9" hidden="1" x14ac:dyDescent="0.35">
      <c r="A187">
        <v>186</v>
      </c>
      <c r="B187" t="s">
        <v>171</v>
      </c>
      <c r="D187" s="1">
        <v>46225</v>
      </c>
    </row>
    <row r="188" spans="1:9" hidden="1" x14ac:dyDescent="0.35">
      <c r="A188">
        <v>187</v>
      </c>
      <c r="B188" t="s">
        <v>172</v>
      </c>
      <c r="D188" s="1">
        <v>46225</v>
      </c>
      <c r="E188">
        <v>94.36</v>
      </c>
      <c r="F188">
        <v>92.4</v>
      </c>
      <c r="G188">
        <v>95.7</v>
      </c>
    </row>
    <row r="189" spans="1:9" hidden="1" x14ac:dyDescent="0.35">
      <c r="A189">
        <v>188</v>
      </c>
      <c r="B189" t="s">
        <v>173</v>
      </c>
      <c r="D189" s="1">
        <v>46226</v>
      </c>
      <c r="F189">
        <v>373</v>
      </c>
    </row>
    <row r="190" spans="1:9" hidden="1" x14ac:dyDescent="0.35">
      <c r="A190">
        <v>189</v>
      </c>
      <c r="B190" t="s">
        <v>174</v>
      </c>
      <c r="C190" t="s">
        <v>148</v>
      </c>
      <c r="D190" s="1">
        <v>46226</v>
      </c>
      <c r="E190">
        <v>1494</v>
      </c>
      <c r="F190">
        <v>1600</v>
      </c>
      <c r="G190">
        <v>1450</v>
      </c>
    </row>
    <row r="191" spans="1:9" hidden="1" x14ac:dyDescent="0.35">
      <c r="A191">
        <v>190</v>
      </c>
      <c r="B191" t="s">
        <v>120</v>
      </c>
      <c r="D191" s="1">
        <v>46226</v>
      </c>
      <c r="E191">
        <v>448</v>
      </c>
    </row>
    <row r="192" spans="1:9" hidden="1" x14ac:dyDescent="0.35">
      <c r="A192">
        <v>191</v>
      </c>
      <c r="B192" t="s">
        <v>175</v>
      </c>
      <c r="C192" t="s">
        <v>176</v>
      </c>
      <c r="D192" s="1">
        <v>46226</v>
      </c>
      <c r="E192">
        <v>726</v>
      </c>
    </row>
    <row r="193" spans="1:9" hidden="1" x14ac:dyDescent="0.35">
      <c r="A193">
        <v>192</v>
      </c>
      <c r="B193" t="s">
        <v>177</v>
      </c>
      <c r="C193" t="s">
        <v>176</v>
      </c>
      <c r="D193" s="1">
        <v>46226</v>
      </c>
      <c r="E193">
        <v>1148</v>
      </c>
      <c r="F193">
        <v>1380</v>
      </c>
    </row>
    <row r="194" spans="1:9" hidden="1" x14ac:dyDescent="0.35">
      <c r="A194">
        <v>193</v>
      </c>
      <c r="B194" t="s">
        <v>178</v>
      </c>
      <c r="D194" s="1">
        <v>46227</v>
      </c>
      <c r="E194">
        <v>188</v>
      </c>
    </row>
    <row r="195" spans="1:9" hidden="1" x14ac:dyDescent="0.35">
      <c r="A195">
        <v>194</v>
      </c>
      <c r="B195" t="s">
        <v>179</v>
      </c>
      <c r="D195" s="1">
        <v>46227</v>
      </c>
      <c r="E195">
        <v>109</v>
      </c>
    </row>
    <row r="196" spans="1:9" hidden="1" x14ac:dyDescent="0.35">
      <c r="A196">
        <v>195</v>
      </c>
      <c r="B196" s="2" t="s">
        <v>180</v>
      </c>
      <c r="C196" s="2"/>
      <c r="D196" s="9">
        <v>46227</v>
      </c>
      <c r="E196" s="2">
        <v>3230</v>
      </c>
      <c r="F196" s="2">
        <v>3404</v>
      </c>
      <c r="G196" s="2">
        <v>3145</v>
      </c>
      <c r="H196" s="9">
        <v>46237</v>
      </c>
      <c r="I196">
        <f>H196-D196+1</f>
        <v>11</v>
      </c>
    </row>
    <row r="197" spans="1:9" hidden="1" x14ac:dyDescent="0.35">
      <c r="A197">
        <v>196</v>
      </c>
      <c r="B197" t="s">
        <v>115</v>
      </c>
      <c r="D197" s="1">
        <v>46227</v>
      </c>
      <c r="E197">
        <v>1132</v>
      </c>
      <c r="F197">
        <v>1329</v>
      </c>
    </row>
    <row r="198" spans="1:9" hidden="1" x14ac:dyDescent="0.35">
      <c r="A198">
        <v>197</v>
      </c>
      <c r="B198" t="s">
        <v>168</v>
      </c>
      <c r="D198" s="1">
        <v>46227</v>
      </c>
      <c r="E198">
        <v>668.2</v>
      </c>
      <c r="F198">
        <v>678.5</v>
      </c>
      <c r="G198">
        <v>664</v>
      </c>
    </row>
    <row r="199" spans="1:9" hidden="1" x14ac:dyDescent="0.35">
      <c r="A199">
        <v>198</v>
      </c>
      <c r="B199" t="s">
        <v>181</v>
      </c>
      <c r="D199" s="1">
        <v>46227</v>
      </c>
      <c r="E199">
        <v>1846</v>
      </c>
      <c r="F199">
        <v>1872</v>
      </c>
      <c r="G199">
        <v>1833</v>
      </c>
    </row>
    <row r="200" spans="1:9" hidden="1" x14ac:dyDescent="0.35">
      <c r="A200">
        <v>199</v>
      </c>
      <c r="B200" t="s">
        <v>112</v>
      </c>
      <c r="D200" s="1">
        <v>46227</v>
      </c>
    </row>
    <row r="201" spans="1:9" hidden="1" x14ac:dyDescent="0.35">
      <c r="A201">
        <v>200</v>
      </c>
      <c r="B201" t="s">
        <v>182</v>
      </c>
      <c r="D201" s="1">
        <v>46230</v>
      </c>
      <c r="E201">
        <v>2439</v>
      </c>
      <c r="F201">
        <v>2590</v>
      </c>
      <c r="G201">
        <v>2360</v>
      </c>
    </row>
    <row r="202" spans="1:9" hidden="1" x14ac:dyDescent="0.35">
      <c r="A202">
        <v>201</v>
      </c>
      <c r="B202" t="s">
        <v>163</v>
      </c>
      <c r="C202" t="s">
        <v>126</v>
      </c>
      <c r="D202" s="1">
        <v>46230</v>
      </c>
      <c r="E202">
        <v>1283</v>
      </c>
    </row>
    <row r="203" spans="1:9" hidden="1" x14ac:dyDescent="0.35">
      <c r="A203">
        <v>202</v>
      </c>
      <c r="B203" t="s">
        <v>183</v>
      </c>
      <c r="D203" s="1">
        <v>46230</v>
      </c>
      <c r="E203">
        <v>81</v>
      </c>
    </row>
    <row r="204" spans="1:9" hidden="1" x14ac:dyDescent="0.35">
      <c r="A204">
        <v>203</v>
      </c>
      <c r="B204" t="s">
        <v>33</v>
      </c>
      <c r="D204" s="1">
        <v>46230</v>
      </c>
      <c r="E204">
        <v>1601</v>
      </c>
      <c r="F204">
        <v>1980</v>
      </c>
    </row>
    <row r="205" spans="1:9" hidden="1" x14ac:dyDescent="0.35">
      <c r="A205">
        <v>204</v>
      </c>
      <c r="B205" t="s">
        <v>115</v>
      </c>
      <c r="D205" s="1">
        <v>46230</v>
      </c>
      <c r="E205">
        <v>1132</v>
      </c>
      <c r="F205">
        <v>1329</v>
      </c>
      <c r="G205">
        <v>1035</v>
      </c>
    </row>
    <row r="206" spans="1:9" hidden="1" x14ac:dyDescent="0.35">
      <c r="A206">
        <v>205</v>
      </c>
      <c r="B206" t="s">
        <v>116</v>
      </c>
      <c r="D206" s="1">
        <v>46231</v>
      </c>
    </row>
    <row r="207" spans="1:9" hidden="1" x14ac:dyDescent="0.35">
      <c r="A207">
        <v>206</v>
      </c>
      <c r="B207" s="2" t="s">
        <v>184</v>
      </c>
      <c r="C207" s="2" t="s">
        <v>123</v>
      </c>
      <c r="D207" s="9">
        <v>46231</v>
      </c>
      <c r="E207" s="2">
        <v>572</v>
      </c>
      <c r="F207" s="2">
        <v>615</v>
      </c>
      <c r="G207" s="2">
        <v>555</v>
      </c>
      <c r="H207" s="9">
        <v>46247</v>
      </c>
      <c r="I207">
        <f>H207-D207+1</f>
        <v>17</v>
      </c>
    </row>
    <row r="208" spans="1:9" hidden="1" x14ac:dyDescent="0.35">
      <c r="A208">
        <v>207</v>
      </c>
      <c r="B208" t="s">
        <v>180</v>
      </c>
      <c r="C208" t="s">
        <v>132</v>
      </c>
      <c r="D208" s="1">
        <v>46231</v>
      </c>
    </row>
    <row r="209" spans="1:9" hidden="1" x14ac:dyDescent="0.35">
      <c r="A209">
        <v>208</v>
      </c>
      <c r="B209" t="s">
        <v>178</v>
      </c>
      <c r="D209" s="1">
        <v>46231</v>
      </c>
      <c r="E209">
        <v>185</v>
      </c>
      <c r="F209">
        <v>240</v>
      </c>
    </row>
    <row r="210" spans="1:9" hidden="1" x14ac:dyDescent="0.35">
      <c r="A210">
        <v>209</v>
      </c>
      <c r="B210" t="s">
        <v>105</v>
      </c>
      <c r="D210" s="1">
        <v>46231</v>
      </c>
    </row>
    <row r="211" spans="1:9" hidden="1" x14ac:dyDescent="0.35">
      <c r="A211">
        <v>210</v>
      </c>
      <c r="B211" t="s">
        <v>185</v>
      </c>
      <c r="C211" t="s">
        <v>176</v>
      </c>
      <c r="D211" s="1">
        <v>46231</v>
      </c>
      <c r="E211">
        <v>1199</v>
      </c>
      <c r="F211">
        <v>1430</v>
      </c>
    </row>
    <row r="212" spans="1:9" hidden="1" x14ac:dyDescent="0.35">
      <c r="A212">
        <v>211</v>
      </c>
      <c r="B212" t="s">
        <v>115</v>
      </c>
      <c r="C212" t="s">
        <v>124</v>
      </c>
      <c r="D212" s="1">
        <v>46231</v>
      </c>
      <c r="E212">
        <v>1132</v>
      </c>
      <c r="F212">
        <v>1329</v>
      </c>
      <c r="G212">
        <v>1035</v>
      </c>
    </row>
    <row r="213" spans="1:9" hidden="1" x14ac:dyDescent="0.35">
      <c r="A213">
        <v>212</v>
      </c>
      <c r="B213" t="s">
        <v>186</v>
      </c>
      <c r="D213" s="1">
        <v>46231</v>
      </c>
      <c r="E213">
        <v>525</v>
      </c>
      <c r="F213">
        <v>536</v>
      </c>
      <c r="G213">
        <v>521</v>
      </c>
    </row>
    <row r="214" spans="1:9" hidden="1" x14ac:dyDescent="0.35">
      <c r="A214">
        <v>213</v>
      </c>
      <c r="B214" t="s">
        <v>106</v>
      </c>
      <c r="D214" s="1">
        <v>46231</v>
      </c>
      <c r="E214">
        <v>1220</v>
      </c>
      <c r="F214">
        <v>1262</v>
      </c>
      <c r="G214">
        <v>1200</v>
      </c>
    </row>
    <row r="215" spans="1:9" hidden="1" x14ac:dyDescent="0.35">
      <c r="A215">
        <v>214</v>
      </c>
      <c r="B215" s="2" t="s">
        <v>188</v>
      </c>
      <c r="C215" s="2" t="s">
        <v>123</v>
      </c>
      <c r="D215" s="9">
        <v>46232</v>
      </c>
      <c r="E215" s="2">
        <v>3994</v>
      </c>
      <c r="F215" s="2">
        <v>4250</v>
      </c>
      <c r="G215" s="2">
        <v>3850</v>
      </c>
      <c r="H215" s="9">
        <v>46233</v>
      </c>
      <c r="I215">
        <f>H215-D215+1</f>
        <v>2</v>
      </c>
    </row>
    <row r="216" spans="1:9" hidden="1" x14ac:dyDescent="0.35">
      <c r="A216">
        <v>215</v>
      </c>
      <c r="B216" t="s">
        <v>189</v>
      </c>
      <c r="C216" t="s">
        <v>132</v>
      </c>
      <c r="D216" s="1">
        <v>46232</v>
      </c>
      <c r="E216">
        <v>7425</v>
      </c>
      <c r="G216">
        <v>7300</v>
      </c>
    </row>
    <row r="217" spans="1:9" hidden="1" x14ac:dyDescent="0.35">
      <c r="A217">
        <v>216</v>
      </c>
      <c r="B217" t="s">
        <v>42</v>
      </c>
      <c r="C217" t="s">
        <v>132</v>
      </c>
      <c r="D217" s="1">
        <v>46232</v>
      </c>
      <c r="E217">
        <v>330</v>
      </c>
      <c r="G217">
        <v>315</v>
      </c>
    </row>
    <row r="218" spans="1:9" hidden="1" x14ac:dyDescent="0.35">
      <c r="A218">
        <v>217</v>
      </c>
      <c r="B218" t="s">
        <v>190</v>
      </c>
      <c r="C218" t="s">
        <v>191</v>
      </c>
      <c r="D218" s="1">
        <v>46232</v>
      </c>
      <c r="E218">
        <v>3833</v>
      </c>
      <c r="F218">
        <v>4550</v>
      </c>
    </row>
    <row r="219" spans="1:9" hidden="1" x14ac:dyDescent="0.35">
      <c r="A219">
        <v>218</v>
      </c>
      <c r="B219" t="s">
        <v>192</v>
      </c>
      <c r="C219" t="s">
        <v>191</v>
      </c>
      <c r="D219" s="1">
        <v>46232</v>
      </c>
      <c r="E219">
        <v>1753</v>
      </c>
      <c r="F219">
        <v>2140</v>
      </c>
    </row>
    <row r="220" spans="1:9" hidden="1" x14ac:dyDescent="0.35">
      <c r="A220">
        <v>219</v>
      </c>
      <c r="B220" s="7" t="s">
        <v>84</v>
      </c>
      <c r="C220" t="s">
        <v>124</v>
      </c>
      <c r="D220" s="1">
        <v>46232</v>
      </c>
      <c r="E220">
        <v>4327</v>
      </c>
      <c r="F220">
        <v>5250</v>
      </c>
      <c r="G220">
        <v>3870</v>
      </c>
    </row>
    <row r="221" spans="1:9" hidden="1" x14ac:dyDescent="0.35">
      <c r="A221">
        <v>220</v>
      </c>
      <c r="B221" s="7" t="s">
        <v>84</v>
      </c>
      <c r="C221" t="s">
        <v>124</v>
      </c>
      <c r="D221" s="1">
        <v>46233</v>
      </c>
      <c r="E221">
        <v>4327</v>
      </c>
      <c r="F221">
        <v>5250</v>
      </c>
      <c r="G221">
        <v>3870</v>
      </c>
    </row>
    <row r="222" spans="1:9" hidden="1" x14ac:dyDescent="0.35">
      <c r="A222">
        <v>221</v>
      </c>
      <c r="B222" t="s">
        <v>37</v>
      </c>
      <c r="C222" t="s">
        <v>191</v>
      </c>
      <c r="D222" s="1">
        <v>46233</v>
      </c>
      <c r="E222">
        <v>1343</v>
      </c>
      <c r="F222">
        <v>1630</v>
      </c>
    </row>
    <row r="223" spans="1:9" hidden="1" x14ac:dyDescent="0.35">
      <c r="A223">
        <v>222</v>
      </c>
      <c r="B223" t="s">
        <v>21</v>
      </c>
      <c r="C223" t="s">
        <v>191</v>
      </c>
      <c r="D223" s="1">
        <v>46233</v>
      </c>
      <c r="E223">
        <v>1523</v>
      </c>
      <c r="F223">
        <v>1765</v>
      </c>
    </row>
    <row r="224" spans="1:9" hidden="1" x14ac:dyDescent="0.35">
      <c r="A224">
        <v>223</v>
      </c>
      <c r="B224" t="s">
        <v>62</v>
      </c>
      <c r="C224" t="s">
        <v>194</v>
      </c>
      <c r="D224" s="1">
        <v>46233</v>
      </c>
    </row>
    <row r="225" spans="1:9" hidden="1" x14ac:dyDescent="0.35">
      <c r="A225">
        <v>224</v>
      </c>
      <c r="B225" t="s">
        <v>193</v>
      </c>
      <c r="C225" t="s">
        <v>194</v>
      </c>
      <c r="D225" s="1">
        <v>46233</v>
      </c>
    </row>
    <row r="226" spans="1:9" hidden="1" x14ac:dyDescent="0.35">
      <c r="A226">
        <v>225</v>
      </c>
      <c r="B226" t="s">
        <v>190</v>
      </c>
      <c r="C226" t="s">
        <v>194</v>
      </c>
      <c r="D226" s="1">
        <v>46233</v>
      </c>
    </row>
    <row r="227" spans="1:9" hidden="1" x14ac:dyDescent="0.35">
      <c r="A227">
        <v>226</v>
      </c>
      <c r="B227" t="s">
        <v>98</v>
      </c>
      <c r="D227" s="1">
        <v>46233</v>
      </c>
      <c r="E227">
        <v>1277</v>
      </c>
    </row>
    <row r="228" spans="1:9" hidden="1" x14ac:dyDescent="0.35">
      <c r="A228">
        <v>227</v>
      </c>
      <c r="B228" t="s">
        <v>138</v>
      </c>
      <c r="D228" s="1">
        <v>46233</v>
      </c>
    </row>
    <row r="229" spans="1:9" hidden="1" x14ac:dyDescent="0.35">
      <c r="A229">
        <v>228</v>
      </c>
      <c r="B229" s="2" t="s">
        <v>70</v>
      </c>
      <c r="C229" s="2" t="s">
        <v>123</v>
      </c>
      <c r="D229" s="9">
        <v>46233</v>
      </c>
      <c r="E229" s="2">
        <v>1630</v>
      </c>
      <c r="F229" s="2">
        <v>1750</v>
      </c>
      <c r="G229" s="2">
        <v>1570</v>
      </c>
      <c r="H229" s="2"/>
    </row>
    <row r="230" spans="1:9" hidden="1" x14ac:dyDescent="0.35">
      <c r="A230">
        <v>229</v>
      </c>
      <c r="B230" s="6" t="s">
        <v>195</v>
      </c>
      <c r="C230" t="s">
        <v>196</v>
      </c>
      <c r="D230" s="1">
        <v>46233</v>
      </c>
      <c r="E230">
        <v>1871</v>
      </c>
      <c r="F230">
        <v>2176</v>
      </c>
      <c r="G230">
        <v>1720</v>
      </c>
    </row>
    <row r="231" spans="1:9" hidden="1" x14ac:dyDescent="0.35">
      <c r="A231">
        <v>230</v>
      </c>
      <c r="B231" t="s">
        <v>204</v>
      </c>
      <c r="D231" s="1">
        <v>46237</v>
      </c>
      <c r="F231">
        <v>520</v>
      </c>
      <c r="G231">
        <v>420</v>
      </c>
    </row>
    <row r="232" spans="1:9" hidden="1" x14ac:dyDescent="0.35">
      <c r="A232">
        <v>231</v>
      </c>
      <c r="B232" t="s">
        <v>189</v>
      </c>
      <c r="D232" s="1">
        <v>46237</v>
      </c>
    </row>
    <row r="233" spans="1:9" hidden="1" x14ac:dyDescent="0.35">
      <c r="A233">
        <v>232</v>
      </c>
      <c r="B233" t="s">
        <v>105</v>
      </c>
      <c r="D233" s="1">
        <v>46237</v>
      </c>
      <c r="F233">
        <v>2490</v>
      </c>
    </row>
    <row r="234" spans="1:9" hidden="1" x14ac:dyDescent="0.35">
      <c r="A234">
        <v>233</v>
      </c>
      <c r="B234" t="s">
        <v>110</v>
      </c>
      <c r="D234" s="1">
        <v>46237</v>
      </c>
      <c r="E234">
        <v>2200</v>
      </c>
    </row>
    <row r="235" spans="1:9" hidden="1" x14ac:dyDescent="0.35">
      <c r="A235">
        <v>234</v>
      </c>
      <c r="B235" t="s">
        <v>202</v>
      </c>
      <c r="D235" s="1">
        <v>46237</v>
      </c>
      <c r="E235">
        <v>910</v>
      </c>
    </row>
    <row r="236" spans="1:9" hidden="1" x14ac:dyDescent="0.35">
      <c r="A236">
        <v>235</v>
      </c>
      <c r="B236" s="2" t="s">
        <v>203</v>
      </c>
      <c r="C236" s="2"/>
      <c r="D236" s="9">
        <v>46237</v>
      </c>
      <c r="E236" s="2">
        <v>1256</v>
      </c>
      <c r="F236" s="2">
        <v>1360</v>
      </c>
      <c r="G236" s="2">
        <v>1200</v>
      </c>
      <c r="H236" s="9">
        <v>46248</v>
      </c>
      <c r="I236">
        <f>H236-D236+1</f>
        <v>12</v>
      </c>
    </row>
    <row r="237" spans="1:9" hidden="1" x14ac:dyDescent="0.35">
      <c r="A237">
        <v>237</v>
      </c>
      <c r="B237" t="s">
        <v>205</v>
      </c>
      <c r="D237" s="1">
        <v>46237</v>
      </c>
      <c r="E237">
        <v>286</v>
      </c>
    </row>
    <row r="238" spans="1:9" hidden="1" x14ac:dyDescent="0.35">
      <c r="A238">
        <v>238</v>
      </c>
      <c r="B238" t="s">
        <v>206</v>
      </c>
      <c r="D238" s="1">
        <v>46237</v>
      </c>
      <c r="E238">
        <v>303.7</v>
      </c>
      <c r="F238">
        <v>321</v>
      </c>
      <c r="G238">
        <v>294.8</v>
      </c>
    </row>
    <row r="239" spans="1:9" hidden="1" x14ac:dyDescent="0.35">
      <c r="A239">
        <v>239</v>
      </c>
      <c r="B239" t="s">
        <v>207</v>
      </c>
      <c r="D239" s="1">
        <v>46237</v>
      </c>
      <c r="E239">
        <v>209.75</v>
      </c>
      <c r="F239">
        <v>211</v>
      </c>
      <c r="G239">
        <v>209</v>
      </c>
    </row>
    <row r="240" spans="1:9" hidden="1" x14ac:dyDescent="0.35">
      <c r="A240">
        <v>240</v>
      </c>
      <c r="B240" t="s">
        <v>208</v>
      </c>
      <c r="D240" s="1">
        <v>46237</v>
      </c>
      <c r="E240">
        <v>5520</v>
      </c>
      <c r="F240">
        <v>5660</v>
      </c>
      <c r="G240">
        <v>5450</v>
      </c>
    </row>
    <row r="241" spans="1:9" hidden="1" x14ac:dyDescent="0.35">
      <c r="A241">
        <v>241</v>
      </c>
      <c r="B241" t="s">
        <v>209</v>
      </c>
      <c r="D241" s="1">
        <v>46238</v>
      </c>
      <c r="E241">
        <v>735</v>
      </c>
      <c r="F241">
        <v>910</v>
      </c>
    </row>
    <row r="242" spans="1:9" hidden="1" x14ac:dyDescent="0.35">
      <c r="A242">
        <v>242</v>
      </c>
      <c r="B242" t="s">
        <v>210</v>
      </c>
      <c r="D242" s="1">
        <v>46238</v>
      </c>
      <c r="E242">
        <v>5010</v>
      </c>
      <c r="F242">
        <v>6610</v>
      </c>
    </row>
    <row r="243" spans="1:9" hidden="1" x14ac:dyDescent="0.35">
      <c r="A243">
        <v>243</v>
      </c>
      <c r="B243" s="2" t="s">
        <v>93</v>
      </c>
      <c r="C243" s="2"/>
      <c r="D243" s="9">
        <v>46238</v>
      </c>
      <c r="E243" s="2">
        <v>1090</v>
      </c>
      <c r="F243" s="2">
        <v>1140</v>
      </c>
      <c r="G243" s="2">
        <v>1060</v>
      </c>
      <c r="H243" s="9">
        <v>46260</v>
      </c>
      <c r="I243">
        <f>H243-D243+1</f>
        <v>23</v>
      </c>
    </row>
    <row r="244" spans="1:9" hidden="1" x14ac:dyDescent="0.35">
      <c r="A244">
        <v>244</v>
      </c>
      <c r="B244" t="s">
        <v>211</v>
      </c>
      <c r="D244" s="1">
        <v>46238</v>
      </c>
      <c r="E244">
        <v>330</v>
      </c>
    </row>
    <row r="245" spans="1:9" hidden="1" x14ac:dyDescent="0.35">
      <c r="A245">
        <v>245</v>
      </c>
      <c r="B245" t="s">
        <v>42</v>
      </c>
      <c r="D245" s="1">
        <v>46238</v>
      </c>
      <c r="E245">
        <v>345</v>
      </c>
    </row>
    <row r="246" spans="1:9" hidden="1" x14ac:dyDescent="0.35">
      <c r="A246">
        <v>246</v>
      </c>
      <c r="B246" t="s">
        <v>212</v>
      </c>
      <c r="D246" s="1">
        <v>46239</v>
      </c>
    </row>
    <row r="247" spans="1:9" hidden="1" x14ac:dyDescent="0.35">
      <c r="A247">
        <v>247</v>
      </c>
      <c r="B247" t="s">
        <v>213</v>
      </c>
      <c r="D247" s="1">
        <v>46239</v>
      </c>
    </row>
    <row r="248" spans="1:9" hidden="1" x14ac:dyDescent="0.35">
      <c r="A248">
        <v>248</v>
      </c>
      <c r="B248" s="2" t="s">
        <v>71</v>
      </c>
      <c r="C248" s="2"/>
      <c r="D248" s="9">
        <v>46239</v>
      </c>
      <c r="E248" s="2">
        <v>1020</v>
      </c>
      <c r="F248" s="2">
        <v>1070</v>
      </c>
      <c r="G248" s="2">
        <v>985</v>
      </c>
      <c r="H248" s="9">
        <v>46246</v>
      </c>
      <c r="I248">
        <f>H248-D248+1</f>
        <v>8</v>
      </c>
    </row>
    <row r="249" spans="1:9" hidden="1" x14ac:dyDescent="0.35">
      <c r="A249">
        <v>249</v>
      </c>
      <c r="B249" t="s">
        <v>100</v>
      </c>
      <c r="D249" s="1">
        <v>46239</v>
      </c>
      <c r="E249">
        <v>875</v>
      </c>
      <c r="F249">
        <v>1050</v>
      </c>
    </row>
    <row r="250" spans="1:9" hidden="1" x14ac:dyDescent="0.35">
      <c r="A250">
        <v>250</v>
      </c>
      <c r="B250" t="s">
        <v>214</v>
      </c>
      <c r="D250" s="1">
        <v>46239</v>
      </c>
      <c r="E250">
        <v>3618</v>
      </c>
      <c r="F250">
        <v>3900</v>
      </c>
    </row>
    <row r="251" spans="1:9" hidden="1" x14ac:dyDescent="0.35">
      <c r="A251">
        <v>251</v>
      </c>
      <c r="B251" t="s">
        <v>17</v>
      </c>
      <c r="D251" s="1">
        <v>46239</v>
      </c>
      <c r="E251">
        <v>143.56</v>
      </c>
      <c r="F251">
        <v>149.97</v>
      </c>
      <c r="G251">
        <v>140.4</v>
      </c>
    </row>
    <row r="252" spans="1:9" hidden="1" x14ac:dyDescent="0.35">
      <c r="A252">
        <v>252</v>
      </c>
      <c r="B252" t="s">
        <v>215</v>
      </c>
      <c r="D252" s="1">
        <v>46239</v>
      </c>
      <c r="E252">
        <v>689.1</v>
      </c>
      <c r="F252">
        <v>738.2</v>
      </c>
      <c r="G252">
        <v>662</v>
      </c>
    </row>
    <row r="253" spans="1:9" hidden="1" x14ac:dyDescent="0.35">
      <c r="A253">
        <v>253</v>
      </c>
      <c r="B253" t="s">
        <v>216</v>
      </c>
      <c r="D253" s="1">
        <v>46240</v>
      </c>
    </row>
    <row r="254" spans="1:9" hidden="1" x14ac:dyDescent="0.35">
      <c r="A254">
        <v>255</v>
      </c>
      <c r="B254" t="s">
        <v>71</v>
      </c>
      <c r="C254" t="s">
        <v>191</v>
      </c>
      <c r="D254" s="1">
        <v>46240</v>
      </c>
      <c r="E254">
        <v>1040</v>
      </c>
      <c r="F254">
        <v>1170</v>
      </c>
    </row>
    <row r="255" spans="1:9" hidden="1" x14ac:dyDescent="0.35">
      <c r="A255">
        <v>256</v>
      </c>
      <c r="B255" t="s">
        <v>217</v>
      </c>
      <c r="C255" t="s">
        <v>191</v>
      </c>
      <c r="D255" s="1">
        <v>46240</v>
      </c>
      <c r="E255">
        <v>2105</v>
      </c>
      <c r="F255">
        <v>2460</v>
      </c>
    </row>
    <row r="256" spans="1:9" hidden="1" x14ac:dyDescent="0.35">
      <c r="A256">
        <v>257</v>
      </c>
      <c r="B256" t="s">
        <v>218</v>
      </c>
      <c r="C256" t="s">
        <v>219</v>
      </c>
      <c r="D256" s="1">
        <v>46240</v>
      </c>
      <c r="E256" s="8">
        <v>12190</v>
      </c>
    </row>
    <row r="257" spans="1:9" hidden="1" x14ac:dyDescent="0.35">
      <c r="A257">
        <v>258</v>
      </c>
      <c r="B257" t="s">
        <v>220</v>
      </c>
      <c r="D257" s="1">
        <v>46240</v>
      </c>
      <c r="E257">
        <v>1192</v>
      </c>
    </row>
    <row r="258" spans="1:9" hidden="1" x14ac:dyDescent="0.35">
      <c r="A258">
        <v>259</v>
      </c>
      <c r="B258" s="2" t="s">
        <v>221</v>
      </c>
      <c r="C258" s="2" t="s">
        <v>123</v>
      </c>
      <c r="D258" s="9">
        <v>46240</v>
      </c>
      <c r="E258" s="2">
        <v>1330</v>
      </c>
      <c r="F258" s="2">
        <v>1420</v>
      </c>
      <c r="G258" s="2">
        <v>1285</v>
      </c>
      <c r="H258" s="2"/>
    </row>
    <row r="259" spans="1:9" hidden="1" x14ac:dyDescent="0.35">
      <c r="A259">
        <v>260</v>
      </c>
      <c r="B259" t="s">
        <v>222</v>
      </c>
      <c r="D259" s="1">
        <v>46241</v>
      </c>
      <c r="E259">
        <v>155</v>
      </c>
      <c r="F259">
        <v>178</v>
      </c>
    </row>
    <row r="260" spans="1:9" hidden="1" x14ac:dyDescent="0.35">
      <c r="A260">
        <v>261</v>
      </c>
      <c r="B260" t="s">
        <v>212</v>
      </c>
      <c r="D260" s="1">
        <v>46241</v>
      </c>
      <c r="E260">
        <v>3252</v>
      </c>
      <c r="F260">
        <v>4100</v>
      </c>
    </row>
    <row r="261" spans="1:9" hidden="1" x14ac:dyDescent="0.35">
      <c r="A261">
        <v>262</v>
      </c>
      <c r="B261" t="s">
        <v>188</v>
      </c>
      <c r="D261" s="1">
        <v>46241</v>
      </c>
    </row>
    <row r="262" spans="1:9" hidden="1" x14ac:dyDescent="0.35">
      <c r="A262">
        <v>263</v>
      </c>
      <c r="B262" t="s">
        <v>32</v>
      </c>
      <c r="D262" s="1">
        <v>46241</v>
      </c>
      <c r="E262">
        <v>316</v>
      </c>
    </row>
    <row r="263" spans="1:9" hidden="1" x14ac:dyDescent="0.35">
      <c r="A263">
        <v>264</v>
      </c>
      <c r="B263" t="s">
        <v>223</v>
      </c>
      <c r="D263" s="1">
        <v>46241</v>
      </c>
      <c r="E263">
        <v>1088</v>
      </c>
    </row>
    <row r="264" spans="1:9" hidden="1" x14ac:dyDescent="0.35">
      <c r="A264">
        <v>265</v>
      </c>
      <c r="B264" s="2" t="s">
        <v>166</v>
      </c>
      <c r="C264" s="2" t="s">
        <v>123</v>
      </c>
      <c r="D264" s="9">
        <v>46241</v>
      </c>
      <c r="E264" s="2">
        <v>182</v>
      </c>
      <c r="F264" s="2">
        <v>195</v>
      </c>
      <c r="G264" s="2">
        <v>176</v>
      </c>
      <c r="H264" s="2"/>
    </row>
    <row r="265" spans="1:9" hidden="1" x14ac:dyDescent="0.35">
      <c r="A265">
        <v>266</v>
      </c>
      <c r="B265" t="s">
        <v>224</v>
      </c>
      <c r="D265" s="1">
        <v>46244</v>
      </c>
      <c r="E265">
        <v>553</v>
      </c>
    </row>
    <row r="266" spans="1:9" hidden="1" x14ac:dyDescent="0.35">
      <c r="A266">
        <v>267</v>
      </c>
      <c r="B266" t="s">
        <v>225</v>
      </c>
      <c r="D266" s="1">
        <v>46244</v>
      </c>
      <c r="E266">
        <v>2102</v>
      </c>
    </row>
    <row r="267" spans="1:9" hidden="1" x14ac:dyDescent="0.35">
      <c r="A267">
        <v>268</v>
      </c>
      <c r="B267" t="s">
        <v>226</v>
      </c>
      <c r="D267" s="1">
        <v>46244</v>
      </c>
      <c r="E267">
        <v>248</v>
      </c>
    </row>
    <row r="268" spans="1:9" hidden="1" x14ac:dyDescent="0.35">
      <c r="A268">
        <v>269</v>
      </c>
      <c r="B268" s="2" t="s">
        <v>182</v>
      </c>
      <c r="C268" s="2"/>
      <c r="D268" s="9">
        <v>46244</v>
      </c>
      <c r="E268" s="2">
        <v>2489</v>
      </c>
      <c r="F268" s="2">
        <v>2700</v>
      </c>
      <c r="G268" s="2">
        <v>2400</v>
      </c>
      <c r="H268" s="9">
        <v>46248</v>
      </c>
      <c r="I268">
        <f>H268-D268+1</f>
        <v>5</v>
      </c>
    </row>
    <row r="269" spans="1:9" hidden="1" x14ac:dyDescent="0.35">
      <c r="A269">
        <v>270</v>
      </c>
      <c r="B269" t="s">
        <v>71</v>
      </c>
      <c r="D269" s="1">
        <v>46244</v>
      </c>
      <c r="E269">
        <v>1060</v>
      </c>
      <c r="F269">
        <v>1220</v>
      </c>
    </row>
    <row r="270" spans="1:9" hidden="1" x14ac:dyDescent="0.35">
      <c r="A270">
        <v>271</v>
      </c>
      <c r="B270" t="s">
        <v>227</v>
      </c>
      <c r="D270" s="1">
        <v>46244</v>
      </c>
      <c r="E270">
        <v>1097</v>
      </c>
      <c r="F270">
        <v>1370</v>
      </c>
    </row>
    <row r="271" spans="1:9" hidden="1" x14ac:dyDescent="0.35">
      <c r="A271">
        <v>272</v>
      </c>
      <c r="B271" t="s">
        <v>84</v>
      </c>
      <c r="D271" s="1">
        <v>46244</v>
      </c>
      <c r="E271">
        <v>4327</v>
      </c>
      <c r="F271">
        <v>5250</v>
      </c>
      <c r="G271">
        <v>3870</v>
      </c>
    </row>
    <row r="272" spans="1:9" hidden="1" x14ac:dyDescent="0.35">
      <c r="A272">
        <v>273</v>
      </c>
      <c r="B272" t="s">
        <v>228</v>
      </c>
      <c r="D272" s="1">
        <v>46244</v>
      </c>
      <c r="E272">
        <v>237.11</v>
      </c>
      <c r="F272">
        <v>253.43</v>
      </c>
      <c r="G272">
        <v>228.8</v>
      </c>
    </row>
    <row r="273" spans="1:9" hidden="1" x14ac:dyDescent="0.35">
      <c r="A273">
        <v>274</v>
      </c>
      <c r="B273" s="2" t="s">
        <v>229</v>
      </c>
      <c r="C273" s="2" t="s">
        <v>230</v>
      </c>
      <c r="D273" s="9">
        <v>46245</v>
      </c>
      <c r="E273" s="2">
        <v>1685</v>
      </c>
      <c r="F273" s="2">
        <v>1775</v>
      </c>
      <c r="G273" s="2">
        <v>1640</v>
      </c>
      <c r="H273" s="2"/>
    </row>
    <row r="274" spans="1:9" hidden="1" x14ac:dyDescent="0.35">
      <c r="A274">
        <v>275</v>
      </c>
      <c r="B274" t="s">
        <v>231</v>
      </c>
      <c r="D274" s="1">
        <v>46245</v>
      </c>
      <c r="E274">
        <v>578</v>
      </c>
    </row>
    <row r="275" spans="1:9" hidden="1" x14ac:dyDescent="0.35">
      <c r="A275">
        <v>276</v>
      </c>
      <c r="B275" t="s">
        <v>232</v>
      </c>
      <c r="D275" s="1">
        <v>46245</v>
      </c>
      <c r="E275">
        <v>608</v>
      </c>
    </row>
    <row r="276" spans="1:9" hidden="1" x14ac:dyDescent="0.35">
      <c r="A276">
        <v>277</v>
      </c>
      <c r="B276" t="s">
        <v>15</v>
      </c>
      <c r="D276" s="1">
        <v>46245</v>
      </c>
      <c r="E276">
        <v>2667</v>
      </c>
      <c r="F276">
        <v>3080</v>
      </c>
    </row>
    <row r="277" spans="1:9" hidden="1" x14ac:dyDescent="0.35">
      <c r="A277">
        <v>278</v>
      </c>
      <c r="B277" t="s">
        <v>233</v>
      </c>
      <c r="D277" s="1">
        <v>46245</v>
      </c>
      <c r="E277">
        <v>207</v>
      </c>
      <c r="F277">
        <v>260</v>
      </c>
    </row>
    <row r="278" spans="1:9" hidden="1" x14ac:dyDescent="0.35">
      <c r="A278">
        <v>279</v>
      </c>
      <c r="B278" t="s">
        <v>234</v>
      </c>
      <c r="D278" s="1">
        <v>46245</v>
      </c>
      <c r="E278">
        <v>3250</v>
      </c>
      <c r="F278">
        <v>3950</v>
      </c>
      <c r="G278">
        <v>2900</v>
      </c>
    </row>
    <row r="279" spans="1:9" hidden="1" x14ac:dyDescent="0.35">
      <c r="A279">
        <v>280</v>
      </c>
      <c r="B279" s="2" t="s">
        <v>235</v>
      </c>
      <c r="C279" s="2" t="s">
        <v>123</v>
      </c>
      <c r="D279" s="9">
        <v>46246</v>
      </c>
      <c r="E279" s="2">
        <v>8578</v>
      </c>
      <c r="F279" s="2">
        <v>9000</v>
      </c>
      <c r="G279" s="2">
        <v>8350</v>
      </c>
      <c r="H279" s="9">
        <v>46260</v>
      </c>
      <c r="I279">
        <f>H279-D279+1</f>
        <v>15</v>
      </c>
    </row>
    <row r="280" spans="1:9" hidden="1" x14ac:dyDescent="0.35">
      <c r="A280">
        <v>281</v>
      </c>
      <c r="B280" t="s">
        <v>14</v>
      </c>
      <c r="C280" t="s">
        <v>124</v>
      </c>
      <c r="D280" s="1">
        <v>46246</v>
      </c>
      <c r="E280">
        <v>2814</v>
      </c>
      <c r="F280">
        <v>3260</v>
      </c>
      <c r="G280">
        <v>2590</v>
      </c>
    </row>
    <row r="281" spans="1:9" hidden="1" x14ac:dyDescent="0.35">
      <c r="A281">
        <v>282</v>
      </c>
      <c r="B281" t="s">
        <v>236</v>
      </c>
      <c r="D281" s="1">
        <v>46246</v>
      </c>
      <c r="E281" s="8">
        <v>18770</v>
      </c>
    </row>
    <row r="282" spans="1:9" hidden="1" x14ac:dyDescent="0.35">
      <c r="A282">
        <v>283</v>
      </c>
      <c r="B282" t="s">
        <v>237</v>
      </c>
      <c r="D282" s="1">
        <v>46246</v>
      </c>
      <c r="E282">
        <v>360</v>
      </c>
    </row>
    <row r="283" spans="1:9" hidden="1" x14ac:dyDescent="0.35">
      <c r="A283">
        <v>284</v>
      </c>
      <c r="B283" t="s">
        <v>238</v>
      </c>
      <c r="D283" s="1">
        <v>46246</v>
      </c>
      <c r="E283">
        <v>970</v>
      </c>
    </row>
    <row r="284" spans="1:9" hidden="1" x14ac:dyDescent="0.35">
      <c r="A284">
        <v>285</v>
      </c>
      <c r="B284" t="s">
        <v>239</v>
      </c>
      <c r="D284" s="1">
        <v>46246</v>
      </c>
      <c r="E284">
        <v>1394</v>
      </c>
      <c r="F284">
        <v>1600</v>
      </c>
    </row>
    <row r="285" spans="1:9" hidden="1" x14ac:dyDescent="0.35">
      <c r="A285">
        <v>286</v>
      </c>
      <c r="B285" s="2" t="s">
        <v>240</v>
      </c>
      <c r="C285" s="2" t="s">
        <v>241</v>
      </c>
      <c r="D285" s="9">
        <v>46247</v>
      </c>
      <c r="E285" s="2">
        <v>531</v>
      </c>
      <c r="F285" s="2">
        <v>570</v>
      </c>
      <c r="G285" s="2">
        <v>510</v>
      </c>
      <c r="H285" s="2"/>
    </row>
    <row r="286" spans="1:9" hidden="1" x14ac:dyDescent="0.35">
      <c r="A286">
        <v>287</v>
      </c>
      <c r="B286" t="s">
        <v>166</v>
      </c>
      <c r="D286" s="1">
        <v>46247</v>
      </c>
      <c r="E286">
        <v>187</v>
      </c>
    </row>
    <row r="287" spans="1:9" hidden="1" x14ac:dyDescent="0.35">
      <c r="A287">
        <v>288</v>
      </c>
      <c r="B287" t="s">
        <v>68</v>
      </c>
      <c r="D287" s="1">
        <v>46247</v>
      </c>
      <c r="E287">
        <v>347</v>
      </c>
    </row>
    <row r="288" spans="1:9" hidden="1" x14ac:dyDescent="0.35">
      <c r="A288">
        <v>289</v>
      </c>
      <c r="B288" t="s">
        <v>90</v>
      </c>
      <c r="D288" s="1">
        <v>46247</v>
      </c>
      <c r="E288">
        <v>761</v>
      </c>
      <c r="F288">
        <v>1110</v>
      </c>
    </row>
    <row r="289" spans="1:8" hidden="1" x14ac:dyDescent="0.35">
      <c r="A289">
        <v>290</v>
      </c>
      <c r="B289" t="s">
        <v>184</v>
      </c>
      <c r="D289" s="1">
        <v>46247</v>
      </c>
      <c r="E289">
        <v>586</v>
      </c>
      <c r="F289">
        <v>705</v>
      </c>
    </row>
    <row r="290" spans="1:8" hidden="1" x14ac:dyDescent="0.35">
      <c r="A290">
        <v>291</v>
      </c>
      <c r="B290" s="2" t="s">
        <v>242</v>
      </c>
      <c r="C290" s="2" t="s">
        <v>123</v>
      </c>
      <c r="D290" s="9">
        <v>46248</v>
      </c>
      <c r="E290" s="2">
        <v>503</v>
      </c>
      <c r="F290" s="2">
        <v>540</v>
      </c>
      <c r="G290" s="2">
        <v>480</v>
      </c>
      <c r="H290" s="2"/>
    </row>
    <row r="291" spans="1:8" hidden="1" x14ac:dyDescent="0.35">
      <c r="A291">
        <v>292</v>
      </c>
      <c r="B291" t="s">
        <v>130</v>
      </c>
      <c r="D291" s="1">
        <v>46248</v>
      </c>
      <c r="E291">
        <v>664</v>
      </c>
    </row>
    <row r="292" spans="1:8" hidden="1" x14ac:dyDescent="0.35">
      <c r="A292">
        <v>293</v>
      </c>
      <c r="B292" t="s">
        <v>157</v>
      </c>
      <c r="D292" s="1">
        <v>46248</v>
      </c>
      <c r="E292">
        <v>778</v>
      </c>
    </row>
    <row r="293" spans="1:8" hidden="1" x14ac:dyDescent="0.35">
      <c r="A293">
        <v>294</v>
      </c>
      <c r="B293" t="s">
        <v>243</v>
      </c>
      <c r="D293" s="1">
        <v>46248</v>
      </c>
      <c r="E293">
        <v>1580</v>
      </c>
      <c r="F293">
        <v>1800</v>
      </c>
    </row>
    <row r="294" spans="1:8" hidden="1" x14ac:dyDescent="0.35">
      <c r="A294">
        <v>295</v>
      </c>
      <c r="B294" t="s">
        <v>244</v>
      </c>
      <c r="D294" s="1">
        <v>46248</v>
      </c>
      <c r="E294">
        <v>1512</v>
      </c>
      <c r="F294">
        <v>1860</v>
      </c>
    </row>
    <row r="295" spans="1:8" hidden="1" x14ac:dyDescent="0.35">
      <c r="A295">
        <v>296</v>
      </c>
      <c r="B295" t="s">
        <v>90</v>
      </c>
      <c r="D295" s="1">
        <v>46248</v>
      </c>
      <c r="E295">
        <v>761</v>
      </c>
      <c r="F295">
        <v>1110</v>
      </c>
    </row>
    <row r="296" spans="1:8" hidden="1" x14ac:dyDescent="0.35">
      <c r="A296">
        <v>297</v>
      </c>
      <c r="B296" t="s">
        <v>245</v>
      </c>
      <c r="C296" t="s">
        <v>123</v>
      </c>
      <c r="D296" s="1">
        <v>46248</v>
      </c>
      <c r="E296">
        <v>238.39</v>
      </c>
      <c r="F296">
        <v>261.56</v>
      </c>
      <c r="G296">
        <v>227</v>
      </c>
    </row>
    <row r="297" spans="1:8" hidden="1" x14ac:dyDescent="0.35">
      <c r="A297">
        <v>298</v>
      </c>
      <c r="B297" t="s">
        <v>178</v>
      </c>
      <c r="D297" s="1">
        <v>46248</v>
      </c>
      <c r="F297">
        <v>200</v>
      </c>
      <c r="G297">
        <v>185</v>
      </c>
    </row>
    <row r="298" spans="1:8" hidden="1" x14ac:dyDescent="0.35">
      <c r="A298">
        <v>299</v>
      </c>
      <c r="B298" t="s">
        <v>207</v>
      </c>
      <c r="D298" s="1">
        <v>46248</v>
      </c>
    </row>
    <row r="299" spans="1:8" hidden="1" x14ac:dyDescent="0.35">
      <c r="A299">
        <v>300</v>
      </c>
      <c r="B299" t="s">
        <v>14</v>
      </c>
      <c r="D299" s="1">
        <v>46251</v>
      </c>
      <c r="E299">
        <v>2814</v>
      </c>
      <c r="F299">
        <v>3260</v>
      </c>
      <c r="G299">
        <v>2590</v>
      </c>
    </row>
    <row r="300" spans="1:8" hidden="1" x14ac:dyDescent="0.35">
      <c r="A300">
        <v>301</v>
      </c>
      <c r="B300" t="s">
        <v>246</v>
      </c>
      <c r="C300" t="s">
        <v>191</v>
      </c>
      <c r="D300" s="1">
        <v>46251</v>
      </c>
      <c r="E300">
        <v>1734</v>
      </c>
      <c r="F300">
        <v>2060</v>
      </c>
    </row>
    <row r="301" spans="1:8" hidden="1" x14ac:dyDescent="0.35">
      <c r="A301">
        <v>302</v>
      </c>
      <c r="B301" t="s">
        <v>53</v>
      </c>
      <c r="C301" t="s">
        <v>191</v>
      </c>
      <c r="D301" s="1">
        <v>46251</v>
      </c>
      <c r="E301">
        <v>1617</v>
      </c>
      <c r="F301">
        <v>1915</v>
      </c>
    </row>
    <row r="302" spans="1:8" hidden="1" x14ac:dyDescent="0.35">
      <c r="A302">
        <v>303</v>
      </c>
      <c r="B302" t="s">
        <v>247</v>
      </c>
      <c r="C302" t="s">
        <v>241</v>
      </c>
      <c r="D302" s="1">
        <v>46251</v>
      </c>
      <c r="E302">
        <v>14130</v>
      </c>
    </row>
    <row r="303" spans="1:8" hidden="1" x14ac:dyDescent="0.35">
      <c r="A303">
        <v>304</v>
      </c>
      <c r="B303" t="s">
        <v>248</v>
      </c>
      <c r="D303" s="1">
        <v>46251</v>
      </c>
      <c r="E303">
        <v>1398</v>
      </c>
    </row>
    <row r="304" spans="1:8" hidden="1" x14ac:dyDescent="0.35">
      <c r="A304">
        <v>305</v>
      </c>
      <c r="B304" s="2" t="s">
        <v>185</v>
      </c>
      <c r="C304" s="2"/>
      <c r="D304" s="9">
        <v>46251</v>
      </c>
      <c r="E304" s="2">
        <v>1244</v>
      </c>
      <c r="F304" s="2">
        <v>1340</v>
      </c>
      <c r="G304" s="2">
        <v>1190</v>
      </c>
      <c r="H304" s="2"/>
    </row>
    <row r="305" spans="1:8" hidden="1" x14ac:dyDescent="0.35">
      <c r="A305">
        <v>306</v>
      </c>
      <c r="B305" t="s">
        <v>249</v>
      </c>
      <c r="C305" t="s">
        <v>250</v>
      </c>
      <c r="D305" s="1">
        <v>46251</v>
      </c>
      <c r="E305">
        <v>79.23</v>
      </c>
      <c r="F305">
        <v>84.2</v>
      </c>
      <c r="G305">
        <v>76.8</v>
      </c>
    </row>
    <row r="306" spans="1:8" hidden="1" x14ac:dyDescent="0.35">
      <c r="A306">
        <v>307</v>
      </c>
      <c r="B306" t="s">
        <v>251</v>
      </c>
      <c r="D306" s="1">
        <v>46251</v>
      </c>
      <c r="E306">
        <v>2040</v>
      </c>
      <c r="F306">
        <v>2202</v>
      </c>
      <c r="G306">
        <v>1950</v>
      </c>
    </row>
    <row r="307" spans="1:8" hidden="1" x14ac:dyDescent="0.35">
      <c r="A307">
        <v>308</v>
      </c>
      <c r="B307" t="s">
        <v>118</v>
      </c>
      <c r="C307" t="s">
        <v>191</v>
      </c>
      <c r="D307" s="1">
        <v>46252</v>
      </c>
      <c r="E307">
        <v>1734</v>
      </c>
      <c r="F307">
        <v>1900</v>
      </c>
    </row>
    <row r="308" spans="1:8" hidden="1" x14ac:dyDescent="0.35">
      <c r="A308">
        <v>309</v>
      </c>
      <c r="B308" t="s">
        <v>252</v>
      </c>
      <c r="C308" t="s">
        <v>241</v>
      </c>
      <c r="D308" s="1">
        <v>46252</v>
      </c>
      <c r="E308">
        <v>1931</v>
      </c>
    </row>
    <row r="309" spans="1:8" hidden="1" x14ac:dyDescent="0.35">
      <c r="A309">
        <v>310</v>
      </c>
      <c r="B309" t="s">
        <v>253</v>
      </c>
      <c r="C309" t="s">
        <v>254</v>
      </c>
      <c r="D309" s="1">
        <v>46252</v>
      </c>
      <c r="E309">
        <v>573</v>
      </c>
    </row>
    <row r="310" spans="1:8" hidden="1" x14ac:dyDescent="0.35">
      <c r="A310">
        <v>311</v>
      </c>
      <c r="B310" s="2" t="s">
        <v>27</v>
      </c>
      <c r="C310" s="2" t="s">
        <v>148</v>
      </c>
      <c r="D310" s="9">
        <v>46252</v>
      </c>
      <c r="E310" s="2">
        <v>435</v>
      </c>
      <c r="F310" s="2">
        <v>460</v>
      </c>
      <c r="G310" s="2">
        <v>422</v>
      </c>
      <c r="H310" s="2"/>
    </row>
    <row r="311" spans="1:8" hidden="1" x14ac:dyDescent="0.35">
      <c r="A311">
        <v>312</v>
      </c>
      <c r="B311" t="s">
        <v>255</v>
      </c>
      <c r="D311" s="1">
        <v>46252</v>
      </c>
      <c r="E311">
        <v>1467</v>
      </c>
      <c r="F311">
        <v>1770</v>
      </c>
    </row>
    <row r="312" spans="1:8" hidden="1" x14ac:dyDescent="0.35">
      <c r="A312">
        <v>313</v>
      </c>
      <c r="B312" t="s">
        <v>256</v>
      </c>
      <c r="C312" t="s">
        <v>250</v>
      </c>
      <c r="D312" s="1">
        <v>46252</v>
      </c>
      <c r="E312">
        <v>13.99</v>
      </c>
      <c r="F312">
        <v>14.57</v>
      </c>
      <c r="G312">
        <v>13.7</v>
      </c>
    </row>
    <row r="313" spans="1:8" hidden="1" x14ac:dyDescent="0.35">
      <c r="A313">
        <v>314</v>
      </c>
      <c r="B313" s="2" t="s">
        <v>156</v>
      </c>
      <c r="C313" s="2" t="s">
        <v>123</v>
      </c>
      <c r="D313" s="9">
        <v>46253</v>
      </c>
      <c r="E313" s="2">
        <v>824</v>
      </c>
      <c r="F313" s="2">
        <v>875</v>
      </c>
      <c r="G313" s="2">
        <v>800</v>
      </c>
      <c r="H313" s="2"/>
    </row>
    <row r="314" spans="1:8" hidden="1" x14ac:dyDescent="0.35">
      <c r="A314">
        <v>315</v>
      </c>
      <c r="B314" t="s">
        <v>222</v>
      </c>
      <c r="C314" t="s">
        <v>241</v>
      </c>
      <c r="D314" s="1">
        <v>46253</v>
      </c>
      <c r="E314">
        <v>170</v>
      </c>
    </row>
    <row r="315" spans="1:8" hidden="1" x14ac:dyDescent="0.35">
      <c r="A315">
        <v>316</v>
      </c>
      <c r="B315" t="s">
        <v>257</v>
      </c>
      <c r="D315" s="1">
        <v>46253</v>
      </c>
      <c r="E315">
        <v>1982</v>
      </c>
    </row>
    <row r="316" spans="1:8" hidden="1" x14ac:dyDescent="0.35">
      <c r="A316">
        <v>317</v>
      </c>
      <c r="B316" t="s">
        <v>139</v>
      </c>
      <c r="D316" s="1">
        <v>46253</v>
      </c>
      <c r="E316">
        <v>3092</v>
      </c>
      <c r="F316">
        <v>3800</v>
      </c>
    </row>
    <row r="317" spans="1:8" hidden="1" x14ac:dyDescent="0.35">
      <c r="A317">
        <v>318</v>
      </c>
      <c r="B317" t="s">
        <v>133</v>
      </c>
      <c r="D317" s="1">
        <v>46253</v>
      </c>
      <c r="E317">
        <v>325</v>
      </c>
      <c r="F317">
        <v>380</v>
      </c>
    </row>
    <row r="318" spans="1:8" hidden="1" x14ac:dyDescent="0.35">
      <c r="A318">
        <v>319</v>
      </c>
      <c r="B318" t="s">
        <v>226</v>
      </c>
      <c r="C318" t="s">
        <v>124</v>
      </c>
      <c r="D318" s="1">
        <v>46253</v>
      </c>
      <c r="E318">
        <v>257</v>
      </c>
      <c r="F318">
        <v>320</v>
      </c>
      <c r="G318">
        <v>225</v>
      </c>
    </row>
    <row r="319" spans="1:8" hidden="1" x14ac:dyDescent="0.35">
      <c r="A319">
        <v>320</v>
      </c>
      <c r="B319" t="s">
        <v>258</v>
      </c>
      <c r="C319" t="s">
        <v>176</v>
      </c>
      <c r="D319" s="1">
        <v>46254</v>
      </c>
      <c r="E319">
        <v>1812</v>
      </c>
      <c r="F319">
        <v>2075</v>
      </c>
    </row>
    <row r="320" spans="1:8" hidden="1" x14ac:dyDescent="0.35">
      <c r="A320">
        <v>321</v>
      </c>
      <c r="B320" t="s">
        <v>247</v>
      </c>
      <c r="C320" t="s">
        <v>259</v>
      </c>
      <c r="D320" s="1">
        <v>46254</v>
      </c>
      <c r="E320">
        <v>14462</v>
      </c>
    </row>
    <row r="321" spans="1:9" hidden="1" x14ac:dyDescent="0.35">
      <c r="A321">
        <v>322</v>
      </c>
      <c r="B321" t="s">
        <v>260</v>
      </c>
      <c r="C321" t="s">
        <v>259</v>
      </c>
      <c r="D321" s="1">
        <v>46254</v>
      </c>
      <c r="E321">
        <v>1217</v>
      </c>
    </row>
    <row r="322" spans="1:9" hidden="1" x14ac:dyDescent="0.35">
      <c r="A322">
        <v>323</v>
      </c>
      <c r="B322" s="2" t="s">
        <v>117</v>
      </c>
      <c r="C322" s="2" t="s">
        <v>148</v>
      </c>
      <c r="D322" s="9">
        <v>46254</v>
      </c>
      <c r="E322" s="2">
        <v>1174</v>
      </c>
      <c r="F322" s="2">
        <v>1250</v>
      </c>
      <c r="G322" s="2">
        <v>1140</v>
      </c>
      <c r="H322" s="2"/>
    </row>
    <row r="323" spans="1:9" hidden="1" x14ac:dyDescent="0.35">
      <c r="A323">
        <v>324</v>
      </c>
      <c r="B323" t="s">
        <v>261</v>
      </c>
      <c r="C323" t="s">
        <v>123</v>
      </c>
      <c r="D323" s="1">
        <v>46254</v>
      </c>
      <c r="E323">
        <v>1240</v>
      </c>
      <c r="F323">
        <v>1326</v>
      </c>
      <c r="G323">
        <v>1195</v>
      </c>
    </row>
    <row r="324" spans="1:9" hidden="1" x14ac:dyDescent="0.35">
      <c r="A324">
        <v>325</v>
      </c>
      <c r="B324" t="s">
        <v>226</v>
      </c>
      <c r="C324" t="s">
        <v>124</v>
      </c>
      <c r="D324" s="1">
        <v>46255</v>
      </c>
      <c r="E324">
        <v>257</v>
      </c>
      <c r="F324">
        <v>320</v>
      </c>
      <c r="G324">
        <v>225</v>
      </c>
    </row>
    <row r="325" spans="1:9" hidden="1" x14ac:dyDescent="0.35">
      <c r="A325">
        <v>326</v>
      </c>
      <c r="B325" t="s">
        <v>237</v>
      </c>
      <c r="C325" t="s">
        <v>176</v>
      </c>
      <c r="D325" s="1">
        <v>46255</v>
      </c>
      <c r="E325">
        <v>349</v>
      </c>
    </row>
    <row r="326" spans="1:9" hidden="1" x14ac:dyDescent="0.35">
      <c r="A326">
        <v>327</v>
      </c>
      <c r="B326" t="s">
        <v>262</v>
      </c>
      <c r="C326" t="s">
        <v>176</v>
      </c>
      <c r="D326" s="1">
        <v>46255</v>
      </c>
      <c r="E326">
        <v>252</v>
      </c>
      <c r="F326">
        <v>340</v>
      </c>
    </row>
    <row r="327" spans="1:9" hidden="1" x14ac:dyDescent="0.35">
      <c r="A327">
        <v>328</v>
      </c>
      <c r="B327" t="s">
        <v>208</v>
      </c>
      <c r="D327" s="1">
        <v>46255</v>
      </c>
      <c r="E327">
        <v>5674</v>
      </c>
    </row>
    <row r="328" spans="1:9" hidden="1" x14ac:dyDescent="0.35">
      <c r="A328">
        <v>329</v>
      </c>
      <c r="B328" t="s">
        <v>263</v>
      </c>
      <c r="D328" s="1">
        <v>46255</v>
      </c>
      <c r="E328">
        <v>397</v>
      </c>
    </row>
    <row r="329" spans="1:9" hidden="1" x14ac:dyDescent="0.35">
      <c r="A329">
        <v>330</v>
      </c>
      <c r="B329" s="2" t="s">
        <v>32</v>
      </c>
      <c r="C329" s="2" t="s">
        <v>148</v>
      </c>
      <c r="D329" s="9">
        <v>46255</v>
      </c>
      <c r="E329" s="2">
        <v>328</v>
      </c>
      <c r="F329" s="2">
        <v>350</v>
      </c>
      <c r="G329" s="2">
        <v>320</v>
      </c>
      <c r="H329" s="9">
        <v>46262</v>
      </c>
      <c r="I329">
        <f>H329-D329+1</f>
        <v>8</v>
      </c>
    </row>
    <row r="330" spans="1:9" hidden="1" x14ac:dyDescent="0.35">
      <c r="A330">
        <v>331</v>
      </c>
      <c r="B330" t="s">
        <v>226</v>
      </c>
      <c r="C330" t="s">
        <v>196</v>
      </c>
      <c r="D330" s="1">
        <v>46258</v>
      </c>
      <c r="E330">
        <v>257</v>
      </c>
      <c r="F330">
        <v>320</v>
      </c>
      <c r="G330">
        <v>225</v>
      </c>
    </row>
    <row r="331" spans="1:9" hidden="1" x14ac:dyDescent="0.35">
      <c r="A331">
        <v>332</v>
      </c>
      <c r="B331" t="s">
        <v>264</v>
      </c>
      <c r="D331" s="1">
        <v>46258</v>
      </c>
      <c r="E331">
        <v>10644</v>
      </c>
    </row>
    <row r="332" spans="1:9" hidden="1" x14ac:dyDescent="0.35">
      <c r="A332">
        <v>333</v>
      </c>
      <c r="B332" t="s">
        <v>265</v>
      </c>
      <c r="D332" s="1">
        <v>46258</v>
      </c>
      <c r="E332">
        <v>159</v>
      </c>
    </row>
    <row r="333" spans="1:9" hidden="1" x14ac:dyDescent="0.35">
      <c r="A333">
        <v>334</v>
      </c>
      <c r="B333" t="s">
        <v>237</v>
      </c>
      <c r="D333" s="1">
        <v>46258</v>
      </c>
      <c r="E333">
        <v>358</v>
      </c>
    </row>
    <row r="334" spans="1:9" hidden="1" x14ac:dyDescent="0.35">
      <c r="A334">
        <v>335</v>
      </c>
      <c r="B334" s="2" t="s">
        <v>89</v>
      </c>
      <c r="C334" s="2"/>
      <c r="D334" s="9">
        <v>46258</v>
      </c>
      <c r="E334" s="2">
        <v>14850</v>
      </c>
      <c r="F334" s="2">
        <v>15900</v>
      </c>
      <c r="G334" s="2">
        <v>14100</v>
      </c>
      <c r="H334" s="2"/>
    </row>
    <row r="335" spans="1:9" hidden="1" x14ac:dyDescent="0.35">
      <c r="A335">
        <v>336</v>
      </c>
      <c r="B335" t="s">
        <v>226</v>
      </c>
      <c r="C335" t="s">
        <v>124</v>
      </c>
      <c r="D335" s="1">
        <v>46259</v>
      </c>
      <c r="E335">
        <v>257</v>
      </c>
      <c r="F335">
        <v>320</v>
      </c>
      <c r="G335">
        <v>225</v>
      </c>
    </row>
    <row r="336" spans="1:9" hidden="1" x14ac:dyDescent="0.35">
      <c r="A336">
        <v>337</v>
      </c>
      <c r="B336" t="s">
        <v>108</v>
      </c>
      <c r="C336" t="s">
        <v>176</v>
      </c>
      <c r="D336" s="1">
        <v>46259</v>
      </c>
      <c r="E336">
        <v>5080</v>
      </c>
      <c r="F336">
        <v>6000</v>
      </c>
    </row>
    <row r="337" spans="1:9" hidden="1" x14ac:dyDescent="0.35">
      <c r="A337">
        <v>338</v>
      </c>
      <c r="B337" t="s">
        <v>90</v>
      </c>
      <c r="C337" t="s">
        <v>176</v>
      </c>
      <c r="D337" s="1">
        <v>46259</v>
      </c>
      <c r="E337">
        <v>797</v>
      </c>
      <c r="F337">
        <v>1110</v>
      </c>
    </row>
    <row r="338" spans="1:9" hidden="1" x14ac:dyDescent="0.35">
      <c r="A338">
        <v>339</v>
      </c>
      <c r="B338" t="s">
        <v>266</v>
      </c>
      <c r="D338" s="1">
        <v>46259</v>
      </c>
      <c r="E338">
        <v>1114</v>
      </c>
    </row>
    <row r="339" spans="1:9" hidden="1" x14ac:dyDescent="0.35">
      <c r="A339">
        <v>340</v>
      </c>
      <c r="B339" t="s">
        <v>267</v>
      </c>
      <c r="D339" s="1">
        <v>46259</v>
      </c>
      <c r="E339">
        <v>1514</v>
      </c>
    </row>
    <row r="340" spans="1:9" hidden="1" x14ac:dyDescent="0.35">
      <c r="A340">
        <v>341</v>
      </c>
      <c r="B340" s="2" t="s">
        <v>212</v>
      </c>
      <c r="C340" s="2" t="s">
        <v>148</v>
      </c>
      <c r="D340" s="9">
        <v>46259</v>
      </c>
      <c r="E340" s="2">
        <v>4114</v>
      </c>
      <c r="F340" s="2">
        <v>4400</v>
      </c>
      <c r="G340" s="2">
        <v>3980</v>
      </c>
      <c r="H340" s="2"/>
    </row>
    <row r="341" spans="1:9" hidden="1" x14ac:dyDescent="0.35">
      <c r="A341">
        <v>342</v>
      </c>
      <c r="B341" t="s">
        <v>268</v>
      </c>
      <c r="C341" t="s">
        <v>176</v>
      </c>
      <c r="D341" s="1">
        <v>46260</v>
      </c>
      <c r="E341">
        <v>438</v>
      </c>
      <c r="F341">
        <v>560</v>
      </c>
    </row>
    <row r="342" spans="1:9" hidden="1" x14ac:dyDescent="0.35">
      <c r="A342">
        <v>343</v>
      </c>
      <c r="B342" t="s">
        <v>88</v>
      </c>
      <c r="C342" t="s">
        <v>176</v>
      </c>
      <c r="D342" s="1">
        <v>46260</v>
      </c>
      <c r="E342">
        <v>448</v>
      </c>
      <c r="F342">
        <v>540</v>
      </c>
    </row>
    <row r="343" spans="1:9" hidden="1" x14ac:dyDescent="0.35">
      <c r="A343">
        <v>344</v>
      </c>
      <c r="B343" t="s">
        <v>269</v>
      </c>
      <c r="D343" s="1">
        <v>46260</v>
      </c>
      <c r="E343">
        <v>3110</v>
      </c>
    </row>
    <row r="344" spans="1:9" hidden="1" x14ac:dyDescent="0.35">
      <c r="A344">
        <v>345</v>
      </c>
      <c r="B344" t="s">
        <v>188</v>
      </c>
      <c r="D344" s="1">
        <v>46260</v>
      </c>
      <c r="E344">
        <v>4420</v>
      </c>
    </row>
    <row r="345" spans="1:9" hidden="1" x14ac:dyDescent="0.35">
      <c r="A345">
        <v>346</v>
      </c>
      <c r="B345" s="2" t="s">
        <v>235</v>
      </c>
      <c r="C345" s="2" t="s">
        <v>148</v>
      </c>
      <c r="D345" s="9">
        <v>46260</v>
      </c>
      <c r="E345" s="2">
        <v>8744</v>
      </c>
      <c r="F345" s="2">
        <v>9256</v>
      </c>
      <c r="G345" s="2">
        <v>8488</v>
      </c>
      <c r="H345" s="9">
        <v>46262</v>
      </c>
      <c r="I345">
        <f>H345-D345+1</f>
        <v>3</v>
      </c>
    </row>
    <row r="346" spans="1:9" hidden="1" x14ac:dyDescent="0.35">
      <c r="A346">
        <v>347</v>
      </c>
      <c r="B346" t="s">
        <v>129</v>
      </c>
      <c r="C346" t="s">
        <v>124</v>
      </c>
      <c r="D346" s="1">
        <v>46261</v>
      </c>
      <c r="E346">
        <v>1406</v>
      </c>
      <c r="F346">
        <v>1620</v>
      </c>
      <c r="G346">
        <v>1300</v>
      </c>
    </row>
    <row r="347" spans="1:9" hidden="1" x14ac:dyDescent="0.35">
      <c r="A347">
        <v>348</v>
      </c>
      <c r="B347" t="s">
        <v>270</v>
      </c>
      <c r="C347" t="s">
        <v>176</v>
      </c>
      <c r="D347" s="1">
        <v>46261</v>
      </c>
      <c r="E347">
        <v>2155</v>
      </c>
      <c r="F347">
        <v>2529</v>
      </c>
    </row>
    <row r="348" spans="1:9" hidden="1" x14ac:dyDescent="0.35">
      <c r="A348">
        <v>349</v>
      </c>
      <c r="B348" t="s">
        <v>271</v>
      </c>
      <c r="C348" t="s">
        <v>176</v>
      </c>
      <c r="D348" s="1">
        <v>46261</v>
      </c>
      <c r="E348">
        <v>195</v>
      </c>
    </row>
    <row r="349" spans="1:9" hidden="1" x14ac:dyDescent="0.35">
      <c r="A349">
        <v>350</v>
      </c>
      <c r="B349" t="s">
        <v>272</v>
      </c>
      <c r="D349" s="1">
        <v>46261</v>
      </c>
      <c r="E349">
        <v>179</v>
      </c>
    </row>
    <row r="350" spans="1:9" hidden="1" x14ac:dyDescent="0.35">
      <c r="A350">
        <v>351</v>
      </c>
      <c r="B350" t="s">
        <v>273</v>
      </c>
      <c r="D350" s="1">
        <v>46261</v>
      </c>
      <c r="E350">
        <v>1887</v>
      </c>
    </row>
    <row r="351" spans="1:9" hidden="1" x14ac:dyDescent="0.35">
      <c r="A351">
        <v>352</v>
      </c>
      <c r="B351" s="2" t="s">
        <v>221</v>
      </c>
      <c r="C351" s="2" t="s">
        <v>148</v>
      </c>
      <c r="D351" s="9">
        <v>46261</v>
      </c>
      <c r="E351" s="2">
        <v>1341</v>
      </c>
      <c r="F351" s="2">
        <v>1439</v>
      </c>
      <c r="G351" s="2">
        <v>1290</v>
      </c>
      <c r="H351" s="2"/>
    </row>
    <row r="352" spans="1:9" hidden="1" x14ac:dyDescent="0.35">
      <c r="A352">
        <v>353</v>
      </c>
      <c r="B352" t="s">
        <v>274</v>
      </c>
      <c r="D352" s="1">
        <v>46261</v>
      </c>
      <c r="E352">
        <v>110</v>
      </c>
      <c r="F352">
        <v>115</v>
      </c>
      <c r="G352">
        <v>108</v>
      </c>
    </row>
    <row r="353" spans="1:8" hidden="1" x14ac:dyDescent="0.35">
      <c r="A353">
        <v>354</v>
      </c>
      <c r="B353" t="s">
        <v>275</v>
      </c>
      <c r="D353" s="1">
        <v>46261</v>
      </c>
      <c r="E353">
        <v>11.26</v>
      </c>
      <c r="F353">
        <v>11.92</v>
      </c>
      <c r="G353">
        <v>10.95</v>
      </c>
    </row>
    <row r="354" spans="1:8" hidden="1" x14ac:dyDescent="0.35">
      <c r="A354">
        <v>355</v>
      </c>
      <c r="B354" t="s">
        <v>129</v>
      </c>
      <c r="C354" t="s">
        <v>241</v>
      </c>
      <c r="D354" s="1">
        <v>46262</v>
      </c>
      <c r="E354">
        <v>1406</v>
      </c>
      <c r="F354">
        <v>1620</v>
      </c>
      <c r="G354">
        <v>1300</v>
      </c>
    </row>
    <row r="355" spans="1:8" hidden="1" x14ac:dyDescent="0.35">
      <c r="A355">
        <v>356</v>
      </c>
      <c r="B355" t="s">
        <v>89</v>
      </c>
      <c r="D355" s="1">
        <v>46262</v>
      </c>
      <c r="E355">
        <v>14711</v>
      </c>
    </row>
    <row r="356" spans="1:8" hidden="1" x14ac:dyDescent="0.35">
      <c r="A356">
        <v>357</v>
      </c>
      <c r="B356" t="s">
        <v>269</v>
      </c>
      <c r="D356" s="1">
        <v>46262</v>
      </c>
      <c r="E356">
        <v>3169</v>
      </c>
      <c r="F356">
        <v>3880</v>
      </c>
    </row>
    <row r="357" spans="1:8" hidden="1" x14ac:dyDescent="0.35">
      <c r="A357">
        <v>358</v>
      </c>
      <c r="B357" t="s">
        <v>236</v>
      </c>
      <c r="C357" t="s">
        <v>241</v>
      </c>
      <c r="D357" s="1">
        <v>46262</v>
      </c>
      <c r="E357">
        <v>20580</v>
      </c>
    </row>
    <row r="358" spans="1:8" hidden="1" x14ac:dyDescent="0.35">
      <c r="A358">
        <v>359</v>
      </c>
      <c r="B358" t="s">
        <v>276</v>
      </c>
      <c r="D358" s="1">
        <v>46262</v>
      </c>
      <c r="E358">
        <v>629</v>
      </c>
    </row>
    <row r="359" spans="1:8" hidden="1" x14ac:dyDescent="0.35">
      <c r="A359">
        <v>360</v>
      </c>
      <c r="B359" s="2" t="s">
        <v>156</v>
      </c>
      <c r="C359" s="2"/>
      <c r="D359" s="9">
        <v>46262</v>
      </c>
      <c r="E359" s="2">
        <v>819</v>
      </c>
      <c r="F359" s="2">
        <v>870</v>
      </c>
      <c r="G359" s="2">
        <v>795</v>
      </c>
      <c r="H359" s="2"/>
    </row>
    <row r="360" spans="1:8" hidden="1" x14ac:dyDescent="0.35">
      <c r="A360">
        <v>361</v>
      </c>
      <c r="B360" t="s">
        <v>10</v>
      </c>
      <c r="D360" s="1">
        <v>46262</v>
      </c>
      <c r="E360">
        <v>1627</v>
      </c>
      <c r="F360">
        <v>1655</v>
      </c>
      <c r="G360">
        <v>1604.5</v>
      </c>
    </row>
    <row r="361" spans="1:8" hidden="1" x14ac:dyDescent="0.35">
      <c r="A361">
        <v>362</v>
      </c>
      <c r="B361" t="s">
        <v>9</v>
      </c>
      <c r="D361" s="1">
        <v>46262</v>
      </c>
      <c r="E361">
        <v>1965</v>
      </c>
      <c r="F361">
        <v>1990</v>
      </c>
      <c r="G361">
        <v>1930</v>
      </c>
    </row>
    <row r="362" spans="1:8" hidden="1" x14ac:dyDescent="0.35">
      <c r="A362">
        <v>363</v>
      </c>
      <c r="B362" t="s">
        <v>277</v>
      </c>
      <c r="D362" s="1">
        <v>46262</v>
      </c>
      <c r="E362">
        <v>1072</v>
      </c>
      <c r="F362">
        <v>1105</v>
      </c>
      <c r="G362">
        <v>1044</v>
      </c>
    </row>
    <row r="363" spans="1:8" hidden="1" x14ac:dyDescent="0.35">
      <c r="A363">
        <v>364</v>
      </c>
      <c r="B363" t="s">
        <v>278</v>
      </c>
      <c r="D363" s="1">
        <v>46262</v>
      </c>
      <c r="E363">
        <v>2321</v>
      </c>
      <c r="F363">
        <v>2850</v>
      </c>
      <c r="G363">
        <v>2150</v>
      </c>
    </row>
    <row r="364" spans="1:8" hidden="1" x14ac:dyDescent="0.35">
      <c r="A364">
        <v>365</v>
      </c>
      <c r="B364" t="s">
        <v>279</v>
      </c>
      <c r="D364" s="1">
        <v>46262</v>
      </c>
      <c r="E364">
        <v>563</v>
      </c>
      <c r="F364">
        <v>577</v>
      </c>
      <c r="G364">
        <v>557</v>
      </c>
    </row>
    <row r="365" spans="1:8" hidden="1" x14ac:dyDescent="0.35">
      <c r="A365">
        <v>366</v>
      </c>
      <c r="B365" t="s">
        <v>32</v>
      </c>
      <c r="C365" t="s">
        <v>123</v>
      </c>
      <c r="D365" s="1">
        <v>46265</v>
      </c>
      <c r="E365">
        <v>331.65</v>
      </c>
      <c r="F365">
        <v>358.65</v>
      </c>
      <c r="G365">
        <v>318</v>
      </c>
    </row>
    <row r="366" spans="1:8" hidden="1" x14ac:dyDescent="0.35">
      <c r="A366">
        <v>367</v>
      </c>
      <c r="B366" t="s">
        <v>129</v>
      </c>
      <c r="C366" t="s">
        <v>124</v>
      </c>
      <c r="D366" s="1">
        <v>46265</v>
      </c>
      <c r="E366">
        <v>1406</v>
      </c>
      <c r="F366">
        <v>1620</v>
      </c>
      <c r="G366">
        <v>1300</v>
      </c>
    </row>
    <row r="367" spans="1:8" hidden="1" x14ac:dyDescent="0.35">
      <c r="A367">
        <v>368</v>
      </c>
      <c r="B367" t="s">
        <v>180</v>
      </c>
      <c r="C367" t="s">
        <v>191</v>
      </c>
      <c r="D367" s="1">
        <v>46265</v>
      </c>
      <c r="E367">
        <v>3332</v>
      </c>
      <c r="F367">
        <v>4108</v>
      </c>
    </row>
    <row r="368" spans="1:8" hidden="1" x14ac:dyDescent="0.35">
      <c r="A368">
        <v>369</v>
      </c>
      <c r="B368" t="s">
        <v>14</v>
      </c>
      <c r="C368" t="s">
        <v>191</v>
      </c>
      <c r="D368" s="1">
        <v>46265</v>
      </c>
      <c r="E368">
        <v>3330</v>
      </c>
    </row>
    <row r="369" spans="1:8" hidden="1" x14ac:dyDescent="0.35">
      <c r="A369">
        <v>370</v>
      </c>
      <c r="B369" t="s">
        <v>280</v>
      </c>
      <c r="D369" s="1">
        <v>46265</v>
      </c>
      <c r="E369">
        <v>8059</v>
      </c>
    </row>
    <row r="370" spans="1:8" hidden="1" x14ac:dyDescent="0.35">
      <c r="A370">
        <v>371</v>
      </c>
      <c r="B370" t="s">
        <v>281</v>
      </c>
      <c r="D370" s="1">
        <v>46265</v>
      </c>
      <c r="E370">
        <v>2515</v>
      </c>
    </row>
    <row r="371" spans="1:8" hidden="1" x14ac:dyDescent="0.35">
      <c r="A371">
        <v>372</v>
      </c>
      <c r="B371" t="s">
        <v>271</v>
      </c>
      <c r="C371" t="s">
        <v>148</v>
      </c>
      <c r="D371" s="1">
        <v>46265</v>
      </c>
      <c r="E371">
        <v>200</v>
      </c>
      <c r="F371">
        <v>210</v>
      </c>
      <c r="G371">
        <v>195</v>
      </c>
    </row>
    <row r="372" spans="1:8" hidden="1" x14ac:dyDescent="0.35">
      <c r="A372">
        <v>373</v>
      </c>
      <c r="B372" s="2" t="s">
        <v>163</v>
      </c>
      <c r="C372" s="2" t="s">
        <v>123</v>
      </c>
      <c r="D372" s="9">
        <v>46266</v>
      </c>
      <c r="E372" s="2">
        <v>1717</v>
      </c>
      <c r="F372" s="2">
        <v>1811</v>
      </c>
      <c r="G372" s="2">
        <v>1670</v>
      </c>
      <c r="H372" s="2"/>
    </row>
    <row r="373" spans="1:8" hidden="1" x14ac:dyDescent="0.35">
      <c r="A373">
        <v>374</v>
      </c>
      <c r="B373" t="s">
        <v>282</v>
      </c>
      <c r="C373" t="s">
        <v>241</v>
      </c>
      <c r="D373" s="1">
        <v>46266</v>
      </c>
      <c r="E373">
        <v>1717</v>
      </c>
    </row>
    <row r="374" spans="1:8" hidden="1" x14ac:dyDescent="0.35">
      <c r="A374">
        <v>375</v>
      </c>
      <c r="B374" t="s">
        <v>283</v>
      </c>
      <c r="D374" s="1">
        <v>46266</v>
      </c>
      <c r="E374">
        <v>262</v>
      </c>
    </row>
    <row r="375" spans="1:8" hidden="1" x14ac:dyDescent="0.35">
      <c r="A375">
        <v>376</v>
      </c>
      <c r="B375" t="s">
        <v>284</v>
      </c>
      <c r="C375" t="s">
        <v>143</v>
      </c>
      <c r="D375" s="1">
        <v>46266</v>
      </c>
      <c r="E375">
        <v>564</v>
      </c>
      <c r="F375">
        <v>720</v>
      </c>
    </row>
    <row r="376" spans="1:8" hidden="1" x14ac:dyDescent="0.35">
      <c r="A376">
        <v>377</v>
      </c>
      <c r="B376" t="s">
        <v>285</v>
      </c>
      <c r="C376" t="s">
        <v>176</v>
      </c>
      <c r="D376" s="1">
        <v>46266</v>
      </c>
      <c r="E376">
        <v>1984</v>
      </c>
      <c r="F376">
        <v>2310</v>
      </c>
    </row>
    <row r="377" spans="1:8" hidden="1" x14ac:dyDescent="0.35">
      <c r="A377">
        <v>378</v>
      </c>
      <c r="B377" s="2" t="s">
        <v>140</v>
      </c>
      <c r="C377" s="2" t="s">
        <v>123</v>
      </c>
      <c r="D377" s="9">
        <v>46267</v>
      </c>
      <c r="E377" s="2">
        <v>1351</v>
      </c>
      <c r="F377" s="2">
        <v>1425</v>
      </c>
      <c r="G377" s="2">
        <v>1315</v>
      </c>
      <c r="H377" s="2"/>
    </row>
    <row r="378" spans="1:8" hidden="1" x14ac:dyDescent="0.35">
      <c r="A378">
        <v>379</v>
      </c>
      <c r="B378" t="s">
        <v>286</v>
      </c>
      <c r="C378" t="s">
        <v>176</v>
      </c>
      <c r="D378" s="1">
        <v>46267</v>
      </c>
      <c r="E378">
        <v>402</v>
      </c>
      <c r="F378">
        <v>510</v>
      </c>
    </row>
    <row r="379" spans="1:8" hidden="1" x14ac:dyDescent="0.35">
      <c r="A379">
        <v>380</v>
      </c>
      <c r="B379" t="s">
        <v>287</v>
      </c>
      <c r="C379" t="s">
        <v>176</v>
      </c>
      <c r="D379" s="1">
        <v>46267</v>
      </c>
      <c r="E379">
        <v>490</v>
      </c>
    </row>
    <row r="380" spans="1:8" hidden="1" x14ac:dyDescent="0.35">
      <c r="A380">
        <v>381</v>
      </c>
      <c r="B380" t="s">
        <v>116</v>
      </c>
      <c r="D380" s="1">
        <v>46267</v>
      </c>
      <c r="F380">
        <v>3250</v>
      </c>
    </row>
    <row r="381" spans="1:8" hidden="1" x14ac:dyDescent="0.35">
      <c r="A381">
        <v>382</v>
      </c>
      <c r="B381" t="s">
        <v>288</v>
      </c>
      <c r="C381" t="s">
        <v>289</v>
      </c>
      <c r="D381" s="1">
        <v>46267</v>
      </c>
    </row>
    <row r="382" spans="1:8" hidden="1" x14ac:dyDescent="0.35">
      <c r="A382">
        <v>383</v>
      </c>
      <c r="B382" t="s">
        <v>249</v>
      </c>
      <c r="C382" t="s">
        <v>241</v>
      </c>
      <c r="D382" s="1">
        <v>46267</v>
      </c>
    </row>
    <row r="383" spans="1:8" hidden="1" x14ac:dyDescent="0.35">
      <c r="A383">
        <v>384</v>
      </c>
      <c r="B383" s="2" t="s">
        <v>290</v>
      </c>
      <c r="C383" s="2"/>
      <c r="D383" s="9">
        <v>46268</v>
      </c>
      <c r="E383" s="2">
        <v>1587</v>
      </c>
      <c r="F383" s="2">
        <v>1677</v>
      </c>
      <c r="G383" s="2">
        <v>1542</v>
      </c>
      <c r="H383" s="2"/>
    </row>
    <row r="384" spans="1:8" hidden="1" x14ac:dyDescent="0.35">
      <c r="A384">
        <v>385</v>
      </c>
      <c r="B384" t="s">
        <v>263</v>
      </c>
      <c r="D384" s="1">
        <v>46268</v>
      </c>
      <c r="E384">
        <v>398</v>
      </c>
    </row>
    <row r="385" spans="1:8" hidden="1" x14ac:dyDescent="0.35">
      <c r="A385">
        <v>386</v>
      </c>
      <c r="B385" t="s">
        <v>265</v>
      </c>
      <c r="D385" s="1">
        <v>46268</v>
      </c>
      <c r="E385">
        <v>172</v>
      </c>
    </row>
    <row r="386" spans="1:8" hidden="1" x14ac:dyDescent="0.35">
      <c r="A386">
        <v>387</v>
      </c>
      <c r="B386" t="s">
        <v>16</v>
      </c>
      <c r="D386" s="1">
        <v>46268</v>
      </c>
      <c r="E386">
        <v>389</v>
      </c>
    </row>
    <row r="387" spans="1:8" hidden="1" x14ac:dyDescent="0.35">
      <c r="A387">
        <v>388</v>
      </c>
      <c r="B387" t="s">
        <v>269</v>
      </c>
      <c r="D387" s="1">
        <v>46268</v>
      </c>
      <c r="E387">
        <v>208</v>
      </c>
      <c r="F387">
        <v>250</v>
      </c>
    </row>
    <row r="388" spans="1:8" hidden="1" x14ac:dyDescent="0.35">
      <c r="A388">
        <v>389</v>
      </c>
      <c r="B388" s="2" t="s">
        <v>265</v>
      </c>
      <c r="C388" s="2"/>
      <c r="D388" s="9">
        <v>46269</v>
      </c>
      <c r="E388" s="2">
        <v>177</v>
      </c>
      <c r="F388" s="2">
        <v>187</v>
      </c>
      <c r="G388" s="2">
        <v>172</v>
      </c>
      <c r="H388" s="2"/>
    </row>
    <row r="389" spans="1:8" hidden="1" x14ac:dyDescent="0.35">
      <c r="A389">
        <v>390</v>
      </c>
      <c r="B389" t="s">
        <v>291</v>
      </c>
      <c r="D389" s="1">
        <v>46269</v>
      </c>
      <c r="E389">
        <v>1615</v>
      </c>
    </row>
    <row r="390" spans="1:8" hidden="1" x14ac:dyDescent="0.35">
      <c r="A390">
        <v>391</v>
      </c>
      <c r="B390" t="s">
        <v>283</v>
      </c>
      <c r="D390" s="1">
        <v>46269</v>
      </c>
      <c r="E390">
        <v>282</v>
      </c>
    </row>
    <row r="391" spans="1:8" hidden="1" x14ac:dyDescent="0.35">
      <c r="A391">
        <v>392</v>
      </c>
      <c r="B391" t="s">
        <v>292</v>
      </c>
      <c r="D391" s="1">
        <v>46269</v>
      </c>
      <c r="E391">
        <v>4766</v>
      </c>
      <c r="F391">
        <v>5800</v>
      </c>
    </row>
    <row r="392" spans="1:8" hidden="1" x14ac:dyDescent="0.35">
      <c r="A392">
        <v>393</v>
      </c>
      <c r="B392" t="s">
        <v>293</v>
      </c>
      <c r="D392" s="1">
        <v>46269</v>
      </c>
      <c r="E392">
        <v>121</v>
      </c>
      <c r="F392">
        <v>200</v>
      </c>
    </row>
    <row r="393" spans="1:8" hidden="1" x14ac:dyDescent="0.35">
      <c r="A393">
        <v>394</v>
      </c>
      <c r="B393" t="s">
        <v>294</v>
      </c>
      <c r="C393" t="s">
        <v>123</v>
      </c>
      <c r="D393" s="1">
        <v>46269</v>
      </c>
      <c r="E393">
        <v>2284.6999999999998</v>
      </c>
      <c r="F393">
        <v>2480.5</v>
      </c>
      <c r="G393">
        <v>2188</v>
      </c>
    </row>
    <row r="394" spans="1:8" hidden="1" x14ac:dyDescent="0.35">
      <c r="A394">
        <v>395</v>
      </c>
      <c r="B394" t="s">
        <v>292</v>
      </c>
      <c r="D394" s="1">
        <v>46272</v>
      </c>
      <c r="E394">
        <v>4856</v>
      </c>
      <c r="F394">
        <v>5800</v>
      </c>
    </row>
    <row r="395" spans="1:8" hidden="1" x14ac:dyDescent="0.35">
      <c r="A395">
        <v>396</v>
      </c>
      <c r="B395" t="s">
        <v>163</v>
      </c>
      <c r="D395" s="1">
        <v>46272</v>
      </c>
      <c r="E395">
        <v>1660</v>
      </c>
    </row>
    <row r="396" spans="1:8" hidden="1" x14ac:dyDescent="0.35">
      <c r="A396">
        <v>397</v>
      </c>
      <c r="B396" s="2" t="s">
        <v>263</v>
      </c>
      <c r="C396" s="2"/>
      <c r="D396" s="9">
        <v>46272</v>
      </c>
      <c r="E396" s="2">
        <v>418</v>
      </c>
      <c r="F396" s="2">
        <v>442</v>
      </c>
      <c r="G396" s="2">
        <v>406</v>
      </c>
    </row>
    <row r="397" spans="1:8" hidden="1" x14ac:dyDescent="0.35">
      <c r="A397">
        <v>398</v>
      </c>
      <c r="B397" t="s">
        <v>232</v>
      </c>
      <c r="D397" s="1">
        <v>46272</v>
      </c>
      <c r="E397">
        <v>696</v>
      </c>
      <c r="F397">
        <v>900</v>
      </c>
    </row>
    <row r="398" spans="1:8" hidden="1" x14ac:dyDescent="0.35">
      <c r="A398">
        <v>399</v>
      </c>
      <c r="B398" s="2" t="s">
        <v>297</v>
      </c>
      <c r="C398" s="2"/>
      <c r="D398" s="9">
        <v>46273</v>
      </c>
      <c r="E398" s="2">
        <v>15.6</v>
      </c>
      <c r="F398" s="2">
        <v>16.8</v>
      </c>
      <c r="G398" s="2">
        <v>15</v>
      </c>
    </row>
    <row r="399" spans="1:8" hidden="1" x14ac:dyDescent="0.35">
      <c r="A399">
        <v>400</v>
      </c>
      <c r="B399" t="s">
        <v>182</v>
      </c>
      <c r="D399" s="1">
        <v>46273</v>
      </c>
      <c r="E399">
        <v>2868</v>
      </c>
    </row>
    <row r="400" spans="1:8" hidden="1" x14ac:dyDescent="0.35">
      <c r="A400">
        <v>401</v>
      </c>
      <c r="B400" s="2" t="s">
        <v>298</v>
      </c>
      <c r="C400" s="2" t="s">
        <v>241</v>
      </c>
      <c r="D400" s="9">
        <v>46273</v>
      </c>
      <c r="E400" s="2">
        <v>802</v>
      </c>
      <c r="F400" s="2"/>
      <c r="G400" s="2"/>
    </row>
    <row r="401" spans="1:8" hidden="1" x14ac:dyDescent="0.35">
      <c r="A401">
        <v>402</v>
      </c>
      <c r="B401" t="s">
        <v>299</v>
      </c>
      <c r="D401" s="1">
        <v>46273</v>
      </c>
      <c r="E401">
        <v>405</v>
      </c>
      <c r="F401">
        <v>530</v>
      </c>
    </row>
    <row r="402" spans="1:8" hidden="1" x14ac:dyDescent="0.35">
      <c r="A402">
        <v>403</v>
      </c>
      <c r="B402" s="10" t="s">
        <v>129</v>
      </c>
      <c r="D402" s="1">
        <v>46273</v>
      </c>
      <c r="E402">
        <v>1406</v>
      </c>
      <c r="F402">
        <v>1620</v>
      </c>
      <c r="G402">
        <v>1300</v>
      </c>
    </row>
    <row r="403" spans="1:8" hidden="1" x14ac:dyDescent="0.35">
      <c r="A403">
        <v>404</v>
      </c>
      <c r="B403" t="s">
        <v>300</v>
      </c>
      <c r="D403" s="1">
        <v>46273</v>
      </c>
      <c r="E403">
        <v>4368</v>
      </c>
      <c r="F403">
        <v>5100</v>
      </c>
    </row>
    <row r="404" spans="1:8" hidden="1" x14ac:dyDescent="0.35">
      <c r="A404">
        <v>405</v>
      </c>
      <c r="B404" t="s">
        <v>24</v>
      </c>
      <c r="D404" s="1">
        <v>46273</v>
      </c>
      <c r="E404">
        <v>171</v>
      </c>
      <c r="F404">
        <v>190</v>
      </c>
      <c r="G404">
        <v>162</v>
      </c>
    </row>
    <row r="405" spans="1:8" hidden="1" x14ac:dyDescent="0.35">
      <c r="A405">
        <v>406</v>
      </c>
      <c r="B405" t="s">
        <v>163</v>
      </c>
      <c r="D405" s="1">
        <v>46274</v>
      </c>
      <c r="E405">
        <v>1670</v>
      </c>
    </row>
    <row r="406" spans="1:8" hidden="1" x14ac:dyDescent="0.35">
      <c r="A406">
        <v>407</v>
      </c>
      <c r="B406" t="s">
        <v>292</v>
      </c>
      <c r="D406" s="1">
        <v>46274</v>
      </c>
      <c r="E406">
        <v>4892</v>
      </c>
      <c r="F406">
        <v>5500</v>
      </c>
      <c r="G406">
        <v>4600</v>
      </c>
    </row>
    <row r="407" spans="1:8" hidden="1" x14ac:dyDescent="0.35">
      <c r="A407">
        <v>408</v>
      </c>
      <c r="B407" t="s">
        <v>301</v>
      </c>
      <c r="C407" t="s">
        <v>176</v>
      </c>
      <c r="D407" s="1">
        <v>46274</v>
      </c>
      <c r="E407">
        <v>581</v>
      </c>
      <c r="F407">
        <v>680</v>
      </c>
    </row>
    <row r="408" spans="1:8" hidden="1" x14ac:dyDescent="0.35">
      <c r="A408">
        <v>409</v>
      </c>
      <c r="B408" t="s">
        <v>101</v>
      </c>
      <c r="C408" t="s">
        <v>148</v>
      </c>
      <c r="D408" s="1">
        <v>46274</v>
      </c>
      <c r="E408">
        <v>895</v>
      </c>
      <c r="F408">
        <v>955</v>
      </c>
      <c r="G408">
        <v>865</v>
      </c>
    </row>
    <row r="409" spans="1:8" hidden="1" x14ac:dyDescent="0.35">
      <c r="A409">
        <v>410</v>
      </c>
      <c r="B409" t="s">
        <v>184</v>
      </c>
      <c r="D409" s="1">
        <v>46275</v>
      </c>
      <c r="E409">
        <v>692</v>
      </c>
      <c r="F409">
        <v>800</v>
      </c>
    </row>
    <row r="410" spans="1:8" hidden="1" x14ac:dyDescent="0.35">
      <c r="A410">
        <v>411</v>
      </c>
      <c r="B410" t="s">
        <v>286</v>
      </c>
      <c r="D410" s="1">
        <v>46275</v>
      </c>
      <c r="E410">
        <v>431</v>
      </c>
      <c r="F410">
        <v>510</v>
      </c>
    </row>
    <row r="411" spans="1:8" hidden="1" x14ac:dyDescent="0.35">
      <c r="A411">
        <v>412</v>
      </c>
      <c r="B411" t="s">
        <v>292</v>
      </c>
      <c r="C411" t="s">
        <v>124</v>
      </c>
      <c r="D411" s="1">
        <v>46275</v>
      </c>
      <c r="E411">
        <v>4892</v>
      </c>
      <c r="F411">
        <v>5500</v>
      </c>
      <c r="G411">
        <v>4600</v>
      </c>
    </row>
    <row r="412" spans="1:8" hidden="1" x14ac:dyDescent="0.35">
      <c r="A412" s="2">
        <v>413</v>
      </c>
      <c r="B412" s="2" t="s">
        <v>302</v>
      </c>
      <c r="C412" s="2" t="s">
        <v>123</v>
      </c>
      <c r="D412" s="9">
        <v>46276</v>
      </c>
      <c r="E412" s="2">
        <v>853</v>
      </c>
      <c r="F412" s="2">
        <v>905</v>
      </c>
      <c r="G412" s="2">
        <v>827</v>
      </c>
      <c r="H412" s="2"/>
    </row>
    <row r="413" spans="1:8" hidden="1" x14ac:dyDescent="0.35">
      <c r="A413">
        <v>414</v>
      </c>
      <c r="B413" t="s">
        <v>140</v>
      </c>
      <c r="C413" t="s">
        <v>241</v>
      </c>
      <c r="D413" s="1">
        <v>46276</v>
      </c>
    </row>
    <row r="414" spans="1:8" hidden="1" x14ac:dyDescent="0.35">
      <c r="A414">
        <v>415</v>
      </c>
      <c r="B414" t="s">
        <v>303</v>
      </c>
      <c r="D414" s="1">
        <v>46276</v>
      </c>
    </row>
    <row r="415" spans="1:8" hidden="1" x14ac:dyDescent="0.35">
      <c r="A415">
        <v>416</v>
      </c>
      <c r="B415" t="s">
        <v>108</v>
      </c>
      <c r="D415" s="1">
        <v>46276</v>
      </c>
      <c r="E415">
        <v>5000</v>
      </c>
      <c r="F415">
        <v>6000</v>
      </c>
    </row>
    <row r="416" spans="1:8" hidden="1" x14ac:dyDescent="0.35">
      <c r="A416">
        <v>417</v>
      </c>
      <c r="B416" t="s">
        <v>287</v>
      </c>
      <c r="D416" s="1">
        <v>46276</v>
      </c>
      <c r="E416">
        <v>502</v>
      </c>
    </row>
    <row r="417" spans="1:8" hidden="1" x14ac:dyDescent="0.35">
      <c r="A417">
        <v>418</v>
      </c>
      <c r="B417" t="s">
        <v>304</v>
      </c>
      <c r="C417" t="s">
        <v>123</v>
      </c>
      <c r="D417" s="1">
        <v>46276</v>
      </c>
      <c r="E417">
        <v>381.45</v>
      </c>
      <c r="F417">
        <v>417.6</v>
      </c>
      <c r="G417">
        <v>363</v>
      </c>
    </row>
    <row r="418" spans="1:8" hidden="1" x14ac:dyDescent="0.35">
      <c r="A418" s="2">
        <v>419</v>
      </c>
      <c r="B418" s="2" t="s">
        <v>305</v>
      </c>
      <c r="C418" s="2"/>
      <c r="D418" s="1">
        <v>46280</v>
      </c>
      <c r="E418" s="2">
        <v>804</v>
      </c>
      <c r="F418" s="2">
        <v>862</v>
      </c>
      <c r="G418" s="2">
        <v>775</v>
      </c>
      <c r="H418" s="2"/>
    </row>
    <row r="419" spans="1:8" hidden="1" x14ac:dyDescent="0.35">
      <c r="A419">
        <v>420</v>
      </c>
      <c r="B419" t="s">
        <v>42</v>
      </c>
      <c r="D419" s="1">
        <v>46280</v>
      </c>
      <c r="E419">
        <v>344</v>
      </c>
    </row>
    <row r="420" spans="1:8" hidden="1" x14ac:dyDescent="0.35">
      <c r="A420">
        <v>421</v>
      </c>
      <c r="B420" t="s">
        <v>101</v>
      </c>
      <c r="D420" s="1">
        <v>46280</v>
      </c>
      <c r="E420">
        <v>909</v>
      </c>
    </row>
    <row r="421" spans="1:8" hidden="1" x14ac:dyDescent="0.35">
      <c r="A421">
        <v>422</v>
      </c>
      <c r="B421" t="s">
        <v>306</v>
      </c>
      <c r="D421" s="1">
        <v>46280</v>
      </c>
      <c r="E421">
        <v>506</v>
      </c>
      <c r="F421">
        <v>673</v>
      </c>
    </row>
    <row r="422" spans="1:8" hidden="1" x14ac:dyDescent="0.35">
      <c r="A422">
        <v>423</v>
      </c>
      <c r="B422" t="s">
        <v>307</v>
      </c>
      <c r="D422" s="1">
        <v>46280</v>
      </c>
      <c r="E422">
        <v>708</v>
      </c>
      <c r="F422">
        <v>925</v>
      </c>
    </row>
    <row r="423" spans="1:8" hidden="1" x14ac:dyDescent="0.35">
      <c r="A423">
        <v>424</v>
      </c>
      <c r="B423" t="s">
        <v>288</v>
      </c>
      <c r="C423" t="s">
        <v>123</v>
      </c>
      <c r="D423" s="1">
        <v>46280</v>
      </c>
      <c r="E423">
        <v>306.35000000000002</v>
      </c>
      <c r="F423">
        <v>333.2</v>
      </c>
      <c r="G423">
        <v>293</v>
      </c>
    </row>
    <row r="424" spans="1:8" hidden="1" x14ac:dyDescent="0.35">
      <c r="A424" s="2">
        <v>425</v>
      </c>
      <c r="B424" s="2" t="s">
        <v>288</v>
      </c>
      <c r="C424" s="2"/>
      <c r="D424" s="9">
        <v>46282</v>
      </c>
      <c r="E424" s="2">
        <v>302</v>
      </c>
      <c r="F424" s="2">
        <v>322</v>
      </c>
      <c r="G424" s="2">
        <v>292</v>
      </c>
      <c r="H424" s="2"/>
    </row>
    <row r="425" spans="1:8" hidden="1" x14ac:dyDescent="0.35">
      <c r="A425">
        <v>426</v>
      </c>
      <c r="B425" t="s">
        <v>308</v>
      </c>
      <c r="D425" s="1">
        <v>46282</v>
      </c>
      <c r="E425">
        <v>1265</v>
      </c>
    </row>
    <row r="426" spans="1:8" hidden="1" x14ac:dyDescent="0.35">
      <c r="A426">
        <v>427</v>
      </c>
      <c r="B426" t="s">
        <v>163</v>
      </c>
      <c r="D426" s="1">
        <v>46282</v>
      </c>
      <c r="E426">
        <v>1730</v>
      </c>
    </row>
    <row r="427" spans="1:8" hidden="1" x14ac:dyDescent="0.35">
      <c r="A427">
        <v>428</v>
      </c>
      <c r="B427" t="s">
        <v>251</v>
      </c>
      <c r="D427" s="1">
        <v>46282</v>
      </c>
      <c r="E427">
        <v>2161</v>
      </c>
      <c r="F427">
        <v>2740</v>
      </c>
    </row>
    <row r="428" spans="1:8" hidden="1" x14ac:dyDescent="0.35">
      <c r="A428">
        <v>429</v>
      </c>
      <c r="B428" t="s">
        <v>309</v>
      </c>
      <c r="C428" t="s">
        <v>250</v>
      </c>
      <c r="D428" s="1">
        <v>46282</v>
      </c>
      <c r="E428">
        <v>278.76</v>
      </c>
      <c r="F428">
        <v>297.14999999999998</v>
      </c>
      <c r="G428">
        <v>268.8</v>
      </c>
    </row>
    <row r="429" spans="1:8" hidden="1" x14ac:dyDescent="0.35">
      <c r="A429">
        <v>430</v>
      </c>
      <c r="B429" t="s">
        <v>265</v>
      </c>
      <c r="D429" s="1">
        <v>46282</v>
      </c>
      <c r="E429">
        <v>162.9</v>
      </c>
      <c r="F429">
        <v>176.89</v>
      </c>
      <c r="G429">
        <v>155.80000000000001</v>
      </c>
    </row>
    <row r="430" spans="1:8" hidden="1" x14ac:dyDescent="0.35">
      <c r="A430">
        <v>431</v>
      </c>
      <c r="B430" t="s">
        <v>284</v>
      </c>
      <c r="D430" s="1">
        <v>46282</v>
      </c>
      <c r="E430">
        <v>1320</v>
      </c>
    </row>
    <row r="431" spans="1:8" hidden="1" x14ac:dyDescent="0.35">
      <c r="A431" s="2">
        <v>432</v>
      </c>
      <c r="B431" s="2" t="s">
        <v>310</v>
      </c>
      <c r="C431" s="2"/>
      <c r="D431" s="9">
        <v>46282</v>
      </c>
      <c r="E431" s="2"/>
      <c r="F431" s="2"/>
      <c r="G431" s="2"/>
      <c r="H431" s="2"/>
    </row>
    <row r="432" spans="1:8" hidden="1" x14ac:dyDescent="0.35">
      <c r="A432">
        <v>433</v>
      </c>
      <c r="B432" t="s">
        <v>265</v>
      </c>
      <c r="D432" s="1">
        <v>46282</v>
      </c>
      <c r="E432">
        <v>164</v>
      </c>
    </row>
    <row r="433" spans="1:8" hidden="1" x14ac:dyDescent="0.35">
      <c r="A433">
        <v>434</v>
      </c>
      <c r="B433" t="s">
        <v>311</v>
      </c>
      <c r="D433" s="1">
        <v>46282</v>
      </c>
      <c r="E433">
        <v>128</v>
      </c>
      <c r="F433">
        <v>180</v>
      </c>
    </row>
    <row r="434" spans="1:8" hidden="1" x14ac:dyDescent="0.35">
      <c r="A434">
        <v>435</v>
      </c>
      <c r="B434" t="s">
        <v>312</v>
      </c>
      <c r="D434" s="1">
        <v>46282</v>
      </c>
      <c r="E434">
        <v>1391</v>
      </c>
      <c r="F434">
        <v>1600</v>
      </c>
    </row>
    <row r="435" spans="1:8" hidden="1" x14ac:dyDescent="0.35">
      <c r="A435">
        <v>436</v>
      </c>
      <c r="B435" t="s">
        <v>313</v>
      </c>
      <c r="C435" t="s">
        <v>250</v>
      </c>
      <c r="D435" s="1">
        <v>46282</v>
      </c>
      <c r="E435">
        <v>1065.7</v>
      </c>
      <c r="F435">
        <v>1144.7</v>
      </c>
      <c r="G435">
        <v>1028</v>
      </c>
    </row>
    <row r="436" spans="1:8" hidden="1" x14ac:dyDescent="0.35">
      <c r="A436">
        <v>437</v>
      </c>
      <c r="B436" t="s">
        <v>221</v>
      </c>
      <c r="C436" t="s">
        <v>176</v>
      </c>
      <c r="D436" s="1">
        <v>46283</v>
      </c>
      <c r="E436">
        <v>1253</v>
      </c>
      <c r="F436">
        <v>1470</v>
      </c>
    </row>
    <row r="437" spans="1:8" hidden="1" x14ac:dyDescent="0.35">
      <c r="A437" s="2">
        <v>438</v>
      </c>
      <c r="B437" s="2" t="s">
        <v>314</v>
      </c>
      <c r="C437" s="2"/>
      <c r="D437" s="9">
        <v>46283</v>
      </c>
      <c r="E437" s="2">
        <v>557</v>
      </c>
      <c r="F437" s="2">
        <v>601</v>
      </c>
      <c r="G437" s="2">
        <v>535</v>
      </c>
      <c r="H437" s="2"/>
    </row>
    <row r="438" spans="1:8" hidden="1" x14ac:dyDescent="0.35">
      <c r="A438">
        <v>439</v>
      </c>
      <c r="B438" t="s">
        <v>32</v>
      </c>
      <c r="D438" s="1">
        <v>46283</v>
      </c>
      <c r="E438">
        <v>322</v>
      </c>
    </row>
    <row r="439" spans="1:8" hidden="1" x14ac:dyDescent="0.35">
      <c r="A439">
        <v>440</v>
      </c>
      <c r="B439" t="s">
        <v>27</v>
      </c>
      <c r="D439" s="1">
        <v>46283</v>
      </c>
      <c r="E439">
        <v>429</v>
      </c>
    </row>
    <row r="440" spans="1:8" hidden="1" x14ac:dyDescent="0.35">
      <c r="A440">
        <v>441</v>
      </c>
      <c r="B440" t="s">
        <v>263</v>
      </c>
      <c r="D440" s="1">
        <v>46283</v>
      </c>
      <c r="E440">
        <v>411</v>
      </c>
    </row>
    <row r="441" spans="1:8" hidden="1" x14ac:dyDescent="0.35">
      <c r="A441">
        <v>442</v>
      </c>
      <c r="B441" t="s">
        <v>37</v>
      </c>
      <c r="C441" t="s">
        <v>123</v>
      </c>
      <c r="D441" s="1">
        <v>46283</v>
      </c>
      <c r="E441">
        <v>1668.9</v>
      </c>
      <c r="F441">
        <v>1804.1</v>
      </c>
      <c r="G441">
        <v>1601</v>
      </c>
    </row>
    <row r="442" spans="1:8" hidden="1" x14ac:dyDescent="0.35">
      <c r="A442">
        <v>443</v>
      </c>
      <c r="B442" t="s">
        <v>315</v>
      </c>
      <c r="C442" t="s">
        <v>250</v>
      </c>
      <c r="D442" s="1">
        <v>46283</v>
      </c>
      <c r="E442">
        <v>1049.9000000000001</v>
      </c>
      <c r="F442">
        <v>1119.7</v>
      </c>
      <c r="G442">
        <v>1015</v>
      </c>
    </row>
    <row r="443" spans="1:8" hidden="1" x14ac:dyDescent="0.35">
      <c r="A443">
        <v>444</v>
      </c>
      <c r="B443" t="s">
        <v>316</v>
      </c>
      <c r="C443" t="s">
        <v>123</v>
      </c>
      <c r="D443" s="1">
        <v>46283</v>
      </c>
      <c r="E443">
        <v>376.2</v>
      </c>
      <c r="F443">
        <v>408.6</v>
      </c>
      <c r="G443">
        <v>360</v>
      </c>
    </row>
    <row r="444" spans="1:8" hidden="1" x14ac:dyDescent="0.35">
      <c r="A444">
        <v>445</v>
      </c>
      <c r="B444" t="s">
        <v>317</v>
      </c>
      <c r="C444" t="s">
        <v>318</v>
      </c>
      <c r="D444" s="1">
        <v>46286</v>
      </c>
      <c r="E444">
        <v>652</v>
      </c>
      <c r="F444">
        <v>750</v>
      </c>
      <c r="G444">
        <v>595</v>
      </c>
    </row>
    <row r="445" spans="1:8" hidden="1" x14ac:dyDescent="0.35">
      <c r="A445" s="2">
        <v>446</v>
      </c>
      <c r="B445" s="2" t="s">
        <v>282</v>
      </c>
      <c r="C445" s="2" t="s">
        <v>123</v>
      </c>
      <c r="D445" s="9">
        <v>46286</v>
      </c>
      <c r="E445" s="2">
        <v>1734</v>
      </c>
      <c r="F445" s="2">
        <v>1878</v>
      </c>
      <c r="G445" s="2">
        <v>1662</v>
      </c>
      <c r="H445" s="2"/>
    </row>
    <row r="446" spans="1:8" hidden="1" x14ac:dyDescent="0.35">
      <c r="A446">
        <v>447</v>
      </c>
      <c r="B446" t="s">
        <v>263</v>
      </c>
      <c r="C446" t="s">
        <v>148</v>
      </c>
      <c r="D446" s="1">
        <v>46286</v>
      </c>
      <c r="E446">
        <v>435</v>
      </c>
    </row>
    <row r="447" spans="1:8" hidden="1" x14ac:dyDescent="0.35">
      <c r="A447">
        <v>448</v>
      </c>
      <c r="B447" t="s">
        <v>24</v>
      </c>
      <c r="D447" s="1">
        <v>46286</v>
      </c>
      <c r="E447">
        <v>192</v>
      </c>
      <c r="F447">
        <v>250</v>
      </c>
    </row>
    <row r="448" spans="1:8" hidden="1" x14ac:dyDescent="0.35">
      <c r="A448">
        <v>449</v>
      </c>
      <c r="B448" t="s">
        <v>319</v>
      </c>
      <c r="D448" s="1">
        <v>46286</v>
      </c>
      <c r="E448">
        <v>117</v>
      </c>
      <c r="F448">
        <v>146</v>
      </c>
    </row>
    <row r="449" spans="1:8" hidden="1" x14ac:dyDescent="0.35">
      <c r="A449" s="10">
        <v>450</v>
      </c>
      <c r="B449" s="10" t="s">
        <v>243</v>
      </c>
      <c r="C449" s="10"/>
      <c r="D449" s="1">
        <v>46296</v>
      </c>
      <c r="E449" s="10">
        <v>1711</v>
      </c>
      <c r="F449" s="10">
        <v>2080</v>
      </c>
      <c r="G449" s="10"/>
      <c r="H449" s="10"/>
    </row>
    <row r="450" spans="1:8" hidden="1" x14ac:dyDescent="0.35">
      <c r="A450">
        <v>451</v>
      </c>
      <c r="B450" t="s">
        <v>320</v>
      </c>
      <c r="D450" s="1">
        <v>46296</v>
      </c>
      <c r="E450">
        <v>574</v>
      </c>
    </row>
    <row r="451" spans="1:8" hidden="1" x14ac:dyDescent="0.35">
      <c r="A451">
        <v>452</v>
      </c>
      <c r="B451" t="s">
        <v>255</v>
      </c>
      <c r="D451" s="1">
        <v>46296</v>
      </c>
      <c r="E451">
        <v>1783</v>
      </c>
      <c r="F451">
        <v>1893</v>
      </c>
      <c r="G451">
        <v>1728</v>
      </c>
    </row>
    <row r="452" spans="1:8" hidden="1" x14ac:dyDescent="0.35">
      <c r="A452">
        <v>453</v>
      </c>
      <c r="B452" t="s">
        <v>321</v>
      </c>
      <c r="C452" t="s">
        <v>123</v>
      </c>
      <c r="D452" s="1">
        <v>46296</v>
      </c>
      <c r="E452">
        <v>1074.9000000000001</v>
      </c>
      <c r="F452">
        <v>1182</v>
      </c>
      <c r="G452">
        <v>1020</v>
      </c>
    </row>
    <row r="453" spans="1:8" hidden="1" x14ac:dyDescent="0.35">
      <c r="A453">
        <v>454</v>
      </c>
      <c r="B453" t="s">
        <v>42</v>
      </c>
      <c r="D453" s="1">
        <v>46300</v>
      </c>
      <c r="E453">
        <v>325</v>
      </c>
    </row>
    <row r="454" spans="1:8" hidden="1" x14ac:dyDescent="0.35">
      <c r="A454">
        <v>455</v>
      </c>
      <c r="B454" t="s">
        <v>223</v>
      </c>
      <c r="D454" s="1">
        <v>46300</v>
      </c>
      <c r="E454">
        <v>987</v>
      </c>
      <c r="F454">
        <v>1275</v>
      </c>
    </row>
    <row r="455" spans="1:8" hidden="1" x14ac:dyDescent="0.35">
      <c r="A455">
        <v>456</v>
      </c>
      <c r="B455" t="s">
        <v>243</v>
      </c>
      <c r="D455" s="1">
        <v>46300</v>
      </c>
      <c r="E455">
        <v>1722</v>
      </c>
    </row>
    <row r="456" spans="1:8" hidden="1" x14ac:dyDescent="0.35">
      <c r="A456">
        <v>457</v>
      </c>
      <c r="B456" t="s">
        <v>322</v>
      </c>
      <c r="D456" s="1">
        <v>46300</v>
      </c>
      <c r="E456">
        <v>2005</v>
      </c>
      <c r="F456">
        <v>2155</v>
      </c>
      <c r="G456">
        <v>1930</v>
      </c>
    </row>
    <row r="457" spans="1:8" hidden="1" x14ac:dyDescent="0.35">
      <c r="A457">
        <v>458</v>
      </c>
      <c r="B457" t="s">
        <v>243</v>
      </c>
      <c r="D457" s="1">
        <v>46301</v>
      </c>
      <c r="E457">
        <v>1771</v>
      </c>
      <c r="F457">
        <v>1879</v>
      </c>
      <c r="G457">
        <v>1717</v>
      </c>
    </row>
    <row r="458" spans="1:8" hidden="1" x14ac:dyDescent="0.35">
      <c r="A458">
        <v>459</v>
      </c>
      <c r="B458" t="s">
        <v>323</v>
      </c>
      <c r="D458" s="1">
        <v>46301</v>
      </c>
      <c r="E458">
        <v>1503</v>
      </c>
      <c r="F458">
        <v>1800</v>
      </c>
    </row>
    <row r="459" spans="1:8" hidden="1" x14ac:dyDescent="0.35">
      <c r="A459">
        <v>460</v>
      </c>
      <c r="B459" t="s">
        <v>324</v>
      </c>
      <c r="D459" s="1">
        <v>46301</v>
      </c>
      <c r="E459">
        <v>2580</v>
      </c>
      <c r="F459">
        <v>3775</v>
      </c>
    </row>
    <row r="460" spans="1:8" hidden="1" x14ac:dyDescent="0.35">
      <c r="A460">
        <v>461</v>
      </c>
      <c r="B460" t="s">
        <v>226</v>
      </c>
      <c r="D460" s="1">
        <v>46301</v>
      </c>
      <c r="E460">
        <v>291.14999999999998</v>
      </c>
      <c r="F460">
        <v>317.75</v>
      </c>
      <c r="G460">
        <v>278</v>
      </c>
    </row>
    <row r="461" spans="1:8" hidden="1" x14ac:dyDescent="0.35">
      <c r="A461" s="2">
        <v>462</v>
      </c>
      <c r="B461" s="2" t="s">
        <v>27</v>
      </c>
      <c r="C461" s="2"/>
      <c r="D461" s="9">
        <v>46302</v>
      </c>
      <c r="E461" s="2">
        <v>452</v>
      </c>
      <c r="F461" s="2">
        <v>480</v>
      </c>
      <c r="G461" s="2">
        <v>438</v>
      </c>
      <c r="H461" s="2"/>
    </row>
    <row r="462" spans="1:8" hidden="1" x14ac:dyDescent="0.35">
      <c r="A462">
        <v>463</v>
      </c>
      <c r="B462" t="s">
        <v>273</v>
      </c>
      <c r="D462" s="1">
        <v>46302</v>
      </c>
      <c r="E462">
        <v>2050</v>
      </c>
    </row>
    <row r="463" spans="1:8" hidden="1" x14ac:dyDescent="0.35">
      <c r="A463">
        <v>464</v>
      </c>
      <c r="B463" t="s">
        <v>283</v>
      </c>
      <c r="D463" s="1">
        <v>46302</v>
      </c>
      <c r="E463">
        <v>313</v>
      </c>
    </row>
    <row r="464" spans="1:8" hidden="1" x14ac:dyDescent="0.35">
      <c r="A464">
        <v>465</v>
      </c>
      <c r="B464" t="s">
        <v>325</v>
      </c>
      <c r="D464" s="1">
        <v>46302</v>
      </c>
      <c r="E464">
        <v>2516</v>
      </c>
      <c r="F464">
        <v>3065</v>
      </c>
    </row>
    <row r="465" spans="1:8" x14ac:dyDescent="0.35">
      <c r="A465">
        <v>466</v>
      </c>
      <c r="B465" t="s">
        <v>81</v>
      </c>
      <c r="D465" s="1">
        <v>46302</v>
      </c>
      <c r="E465">
        <v>1160</v>
      </c>
    </row>
    <row r="466" spans="1:8" hidden="1" x14ac:dyDescent="0.35">
      <c r="A466">
        <v>467</v>
      </c>
      <c r="B466" t="s">
        <v>326</v>
      </c>
      <c r="D466" s="1">
        <v>46303</v>
      </c>
      <c r="E466">
        <v>322</v>
      </c>
    </row>
    <row r="467" spans="1:8" hidden="1" x14ac:dyDescent="0.35">
      <c r="A467">
        <v>468</v>
      </c>
      <c r="B467" t="s">
        <v>320</v>
      </c>
      <c r="D467" s="1">
        <v>46303</v>
      </c>
      <c r="E467">
        <v>602</v>
      </c>
    </row>
    <row r="468" spans="1:8" hidden="1" x14ac:dyDescent="0.35">
      <c r="A468">
        <v>469</v>
      </c>
      <c r="B468" t="s">
        <v>32</v>
      </c>
      <c r="D468" s="1">
        <v>46303</v>
      </c>
      <c r="E468">
        <v>314</v>
      </c>
      <c r="F468">
        <v>340</v>
      </c>
    </row>
    <row r="469" spans="1:8" hidden="1" x14ac:dyDescent="0.35">
      <c r="A469">
        <v>470</v>
      </c>
      <c r="B469" t="s">
        <v>327</v>
      </c>
      <c r="D469" s="1">
        <v>46303</v>
      </c>
      <c r="E469">
        <v>321</v>
      </c>
    </row>
    <row r="470" spans="1:8" hidden="1" x14ac:dyDescent="0.35">
      <c r="A470">
        <v>471</v>
      </c>
      <c r="B470" t="s">
        <v>328</v>
      </c>
      <c r="D470" s="1">
        <v>46304</v>
      </c>
      <c r="E470">
        <v>1482</v>
      </c>
      <c r="F470">
        <v>1960</v>
      </c>
    </row>
    <row r="471" spans="1:8" hidden="1" x14ac:dyDescent="0.35">
      <c r="A471">
        <v>472</v>
      </c>
      <c r="B471" t="s">
        <v>329</v>
      </c>
      <c r="D471" s="1">
        <v>46304</v>
      </c>
      <c r="E471">
        <v>586</v>
      </c>
      <c r="F471">
        <v>750</v>
      </c>
    </row>
    <row r="472" spans="1:8" hidden="1" x14ac:dyDescent="0.35">
      <c r="A472">
        <v>473</v>
      </c>
      <c r="B472" t="s">
        <v>330</v>
      </c>
      <c r="D472" s="1">
        <v>46304</v>
      </c>
      <c r="E472">
        <v>3257</v>
      </c>
    </row>
    <row r="473" spans="1:8" hidden="1" x14ac:dyDescent="0.35">
      <c r="A473">
        <v>474</v>
      </c>
      <c r="B473" t="s">
        <v>331</v>
      </c>
      <c r="C473" t="s">
        <v>123</v>
      </c>
      <c r="D473" s="1">
        <v>46304</v>
      </c>
      <c r="E473">
        <v>916.05</v>
      </c>
      <c r="F473">
        <v>993.1</v>
      </c>
      <c r="G473">
        <v>880</v>
      </c>
    </row>
    <row r="474" spans="1:8" hidden="1" x14ac:dyDescent="0.35">
      <c r="A474" s="2">
        <v>475</v>
      </c>
      <c r="B474" s="2" t="s">
        <v>332</v>
      </c>
      <c r="C474" s="2"/>
      <c r="D474" s="1">
        <v>46307</v>
      </c>
      <c r="E474" s="2">
        <v>441</v>
      </c>
      <c r="F474" s="2">
        <v>471</v>
      </c>
      <c r="G474" s="2">
        <v>426</v>
      </c>
      <c r="H474" s="2"/>
    </row>
    <row r="475" spans="1:8" hidden="1" x14ac:dyDescent="0.35">
      <c r="A475">
        <v>476</v>
      </c>
      <c r="B475" t="s">
        <v>42</v>
      </c>
      <c r="D475" s="1">
        <v>46307</v>
      </c>
      <c r="E475">
        <v>343</v>
      </c>
    </row>
    <row r="476" spans="1:8" hidden="1" x14ac:dyDescent="0.35">
      <c r="A476">
        <v>477</v>
      </c>
      <c r="B476" t="s">
        <v>333</v>
      </c>
      <c r="D476" s="1">
        <v>46307</v>
      </c>
      <c r="E476">
        <v>5770</v>
      </c>
    </row>
    <row r="477" spans="1:8" hidden="1" x14ac:dyDescent="0.35">
      <c r="A477">
        <v>478</v>
      </c>
      <c r="B477" t="s">
        <v>242</v>
      </c>
      <c r="D477" s="1">
        <v>46307</v>
      </c>
      <c r="E477">
        <v>447</v>
      </c>
      <c r="F477">
        <v>570</v>
      </c>
    </row>
    <row r="478" spans="1:8" hidden="1" x14ac:dyDescent="0.35">
      <c r="A478">
        <v>479</v>
      </c>
      <c r="B478" t="s">
        <v>178</v>
      </c>
      <c r="D478" s="1">
        <v>46307</v>
      </c>
      <c r="F478">
        <v>287</v>
      </c>
    </row>
    <row r="479" spans="1:8" hidden="1" x14ac:dyDescent="0.35">
      <c r="A479">
        <v>480</v>
      </c>
    </row>
    <row r="480" spans="1:8" hidden="1" x14ac:dyDescent="0.35">
      <c r="A480">
        <v>481</v>
      </c>
    </row>
    <row r="481" spans="1:1" hidden="1" x14ac:dyDescent="0.35">
      <c r="A481">
        <v>482</v>
      </c>
    </row>
    <row r="482" spans="1:1" hidden="1" x14ac:dyDescent="0.35">
      <c r="A482">
        <v>483</v>
      </c>
    </row>
    <row r="483" spans="1:1" hidden="1" x14ac:dyDescent="0.35">
      <c r="A483">
        <v>484</v>
      </c>
    </row>
    <row r="484" spans="1:1" hidden="1" x14ac:dyDescent="0.35">
      <c r="A484">
        <v>485</v>
      </c>
    </row>
    <row r="485" spans="1:1" hidden="1" x14ac:dyDescent="0.35">
      <c r="A485">
        <v>486</v>
      </c>
    </row>
    <row r="486" spans="1:1" hidden="1" x14ac:dyDescent="0.35">
      <c r="A486">
        <v>487</v>
      </c>
    </row>
    <row r="487" spans="1:1" hidden="1" x14ac:dyDescent="0.35">
      <c r="A487">
        <v>488</v>
      </c>
    </row>
    <row r="488" spans="1:1" hidden="1" x14ac:dyDescent="0.35">
      <c r="A488">
        <v>489</v>
      </c>
    </row>
    <row r="489" spans="1:1" hidden="1" x14ac:dyDescent="0.35">
      <c r="A489">
        <v>490</v>
      </c>
    </row>
    <row r="490" spans="1:1" hidden="1" x14ac:dyDescent="0.35">
      <c r="A490">
        <v>491</v>
      </c>
    </row>
    <row r="491" spans="1:1" hidden="1" x14ac:dyDescent="0.35">
      <c r="A491">
        <v>492</v>
      </c>
    </row>
    <row r="492" spans="1:1" hidden="1" x14ac:dyDescent="0.35">
      <c r="A492">
        <v>493</v>
      </c>
    </row>
    <row r="493" spans="1:1" hidden="1" x14ac:dyDescent="0.35">
      <c r="A493">
        <v>494</v>
      </c>
    </row>
    <row r="494" spans="1:1" hidden="1" x14ac:dyDescent="0.35">
      <c r="A494">
        <v>495</v>
      </c>
    </row>
    <row r="495" spans="1:1" hidden="1" x14ac:dyDescent="0.35">
      <c r="A495">
        <v>496</v>
      </c>
    </row>
    <row r="496" spans="1:1" hidden="1" x14ac:dyDescent="0.35">
      <c r="A496">
        <v>497</v>
      </c>
    </row>
    <row r="497" spans="1:1" hidden="1" x14ac:dyDescent="0.35">
      <c r="A497">
        <v>498</v>
      </c>
    </row>
    <row r="498" spans="1:1" hidden="1" x14ac:dyDescent="0.35">
      <c r="A498">
        <v>499</v>
      </c>
    </row>
    <row r="499" spans="1:1" hidden="1" x14ac:dyDescent="0.35">
      <c r="A499">
        <v>500</v>
      </c>
    </row>
    <row r="500" spans="1:1" hidden="1" x14ac:dyDescent="0.35">
      <c r="A500">
        <v>501</v>
      </c>
    </row>
    <row r="501" spans="1:1" hidden="1" x14ac:dyDescent="0.35">
      <c r="A501">
        <v>502</v>
      </c>
    </row>
    <row r="502" spans="1:1" hidden="1" x14ac:dyDescent="0.35">
      <c r="A502">
        <v>503</v>
      </c>
    </row>
    <row r="503" spans="1:1" hidden="1" x14ac:dyDescent="0.35">
      <c r="A503">
        <v>504</v>
      </c>
    </row>
    <row r="504" spans="1:1" hidden="1" x14ac:dyDescent="0.35">
      <c r="A504">
        <v>505</v>
      </c>
    </row>
    <row r="505" spans="1:1" hidden="1" x14ac:dyDescent="0.35">
      <c r="A505">
        <v>506</v>
      </c>
    </row>
    <row r="506" spans="1:1" hidden="1" x14ac:dyDescent="0.35">
      <c r="A506">
        <v>507</v>
      </c>
    </row>
    <row r="507" spans="1:1" hidden="1" x14ac:dyDescent="0.35">
      <c r="A507">
        <v>508</v>
      </c>
    </row>
    <row r="508" spans="1:1" hidden="1" x14ac:dyDescent="0.35">
      <c r="A508">
        <v>509</v>
      </c>
    </row>
    <row r="509" spans="1:1" hidden="1" x14ac:dyDescent="0.35">
      <c r="A509">
        <v>510</v>
      </c>
    </row>
    <row r="510" spans="1:1" hidden="1" x14ac:dyDescent="0.35">
      <c r="A510">
        <v>511</v>
      </c>
    </row>
    <row r="511" spans="1:1" hidden="1" x14ac:dyDescent="0.35">
      <c r="A511">
        <v>512</v>
      </c>
    </row>
    <row r="512" spans="1:1" hidden="1" x14ac:dyDescent="0.35">
      <c r="A512">
        <v>513</v>
      </c>
    </row>
    <row r="513" spans="1:1" hidden="1" x14ac:dyDescent="0.35">
      <c r="A513">
        <v>514</v>
      </c>
    </row>
    <row r="514" spans="1:1" hidden="1" x14ac:dyDescent="0.35">
      <c r="A514">
        <v>515</v>
      </c>
    </row>
  </sheetData>
  <autoFilter ref="A1:H514" xr:uid="{11702C7E-E6DA-4340-BEE9-A978C9B55E59}">
    <filterColumn colId="1">
      <filters>
        <filter val="ZYDUS LIFESCIENCE"/>
      </filters>
    </filterColumn>
    <sortState xmlns:xlrd2="http://schemas.microsoft.com/office/spreadsheetml/2017/richdata2" ref="A2:H514">
      <sortCondition ref="A1:A514"/>
    </sortState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2E0AF-64C8-4124-A0D7-87EDC5F828BC}">
  <dimension ref="A1:E3"/>
  <sheetViews>
    <sheetView workbookViewId="0">
      <selection activeCell="D2" sqref="A1:E3"/>
    </sheetView>
  </sheetViews>
  <sheetFormatPr defaultRowHeight="14.5" x14ac:dyDescent="0.35"/>
  <cols>
    <col min="1" max="1" width="10.08984375" bestFit="1" customWidth="1"/>
    <col min="2" max="2" width="12.08984375" bestFit="1" customWidth="1"/>
    <col min="3" max="3" width="6" bestFit="1" customWidth="1"/>
    <col min="4" max="4" width="7.7265625" bestFit="1" customWidth="1"/>
    <col min="5" max="5" width="10" bestFit="1" customWidth="1"/>
  </cols>
  <sheetData>
    <row r="1" spans="1:5" x14ac:dyDescent="0.35">
      <c r="A1" t="s">
        <v>49</v>
      </c>
      <c r="B1" t="s">
        <v>44</v>
      </c>
      <c r="C1" t="s">
        <v>45</v>
      </c>
      <c r="D1" t="s">
        <v>38</v>
      </c>
      <c r="E1" t="s">
        <v>48</v>
      </c>
    </row>
    <row r="2" spans="1:5" x14ac:dyDescent="0.35">
      <c r="A2" s="1">
        <v>46210</v>
      </c>
      <c r="B2" t="s">
        <v>20</v>
      </c>
      <c r="C2" t="s">
        <v>46</v>
      </c>
      <c r="D2">
        <v>5</v>
      </c>
      <c r="E2">
        <v>2108.9</v>
      </c>
    </row>
    <row r="3" spans="1:5" x14ac:dyDescent="0.35">
      <c r="A3" s="1">
        <v>46210</v>
      </c>
      <c r="B3" t="s">
        <v>40</v>
      </c>
      <c r="C3" t="s">
        <v>47</v>
      </c>
      <c r="D3">
        <v>40</v>
      </c>
      <c r="E3">
        <v>244.1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Detail1</vt:lpstr>
      <vt:lpstr>Detail2</vt:lpstr>
      <vt:lpstr>Detail3</vt:lpstr>
      <vt:lpstr>Sheet2</vt:lpstr>
      <vt:lpstr>Main sheet</vt:lpstr>
      <vt:lpstr>Buy Sell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Rajvanshi</dc:creator>
  <cp:lastModifiedBy>Khushi Rajvanshi</cp:lastModifiedBy>
  <dcterms:created xsi:type="dcterms:W3CDTF">2026-06-20T17:54:02Z</dcterms:created>
  <dcterms:modified xsi:type="dcterms:W3CDTF">2026-10-18T20:41:40Z</dcterms:modified>
</cp:coreProperties>
</file>