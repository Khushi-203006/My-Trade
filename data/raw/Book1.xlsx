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4627E40D-D4FB-4F75-9F7F-D68791782707}" xr6:coauthVersionLast="47" xr6:coauthVersionMax="47" xr10:uidLastSave="{00000000-0000-0000-0000-000000000000}"/>
  <bookViews>
    <workbookView xWindow="-110" yWindow="-110" windowWidth="19420" windowHeight="10300" activeTab="5" xr2:uid="{A1FA5CC5-E2C2-4F51-9BAE-3F5476477926}"/>
  </bookViews>
  <sheets>
    <sheet name="Detail1" sheetId="8" r:id="rId1"/>
    <sheet name="Detail2" sheetId="9" r:id="rId2"/>
    <sheet name="Detail3" sheetId="10" r:id="rId3"/>
    <sheet name="Detail4" sheetId="11" r:id="rId4"/>
    <sheet name="Sheet2" sheetId="3" r:id="rId5"/>
    <sheet name="Main sheet" sheetId="1" r:id="rId6"/>
    <sheet name="Buy Sell" sheetId="2" r:id="rId7"/>
  </sheets>
  <definedNames>
    <definedName name="_xlnm._FilterDatabase" localSheetId="5" hidden="1">'Main sheet'!$A$1:$L$247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sharedStrings.xml><?xml version="1.0" encoding="utf-8"?>
<sst xmlns="http://schemas.openxmlformats.org/spreadsheetml/2006/main" count="369" uniqueCount="203">
  <si>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</si>
  <si>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</si>
  <si>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</si>
  <si>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</si>
  <si>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</si>
  <si>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</si>
  <si>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</si>
  <si>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</si>
  <si>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</si>
  <si>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</si>
  <si>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</si>
  <si>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</si>
  <si>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</si>
  <si>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</si>
  <si>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</si>
  <si>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</si>
  <si>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</si>
  <si>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</si>
  <si>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</si>
  <si>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</si>
  <si>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</si>
  <si>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</si>
  <si>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</si>
  <si>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</si>
  <si>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</si>
  <si>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</si>
  <si>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</si>
  <si>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</si>
  <si>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</si>
  <si>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</si>
  <si>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</si>
  <si>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</si>
  <si>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</si>
  <si>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</si>
  <si>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</si>
  <si>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</si>
  <si>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</si>
  <si>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</si>
  <si>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</si>
  <si>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</si>
  <si>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</si>
  <si>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</si>
  <si>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</si>
  <si>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</si>
  <si>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</si>
  <si>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</si>
  <si>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</si>
  <si>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</si>
  <si>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</si>
  <si>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</si>
  <si>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</si>
  <si>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</si>
  <si>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</si>
  <si>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</si>
  <si>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</si>
  <si>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</si>
  <si>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</si>
  <si>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</si>
  <si>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</si>
  <si>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</si>
  <si>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</si>
  <si>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</si>
  <si>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</si>
  <si>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</si>
  <si>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</si>
  <si>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</si>
  <si>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</si>
  <si>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</si>
  <si>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</si>
  <si>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</si>
  <si>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</si>
  <si>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</si>
  <si>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</si>
  <si>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</si>
  <si>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</si>
  <si>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</si>
  <si>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</si>
  <si>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</si>
  <si>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</si>
  <si>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</si>
  <si>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</si>
  <si>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</si>
  <si>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</si>
  <si>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</si>
  <si>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</si>
  <si>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</si>
  <si>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</si>
  <si>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</si>
  <si>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</si>
  <si>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</si>
  <si>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</si>
  <si>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</si>
  <si>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</si>
  <si>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</si>
  <si>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</si>
  <si>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</si>
  <si>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</si>
  <si>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</si>
  <si>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</si>
  <si>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</si>
  <si>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</si>
  <si>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</si>
  <si>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</si>
  <si>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</si>
  <si>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</si>
  <si>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</si>
  <si>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</si>
  <si>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</si>
  <si>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</si>
  <si>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</si>
  <si>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</si>
  <si>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</si>
  <si>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</si>
  <si>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</si>
  <si>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</si>
  <si>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</si>
  <si>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</si>
  <si>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</si>
  <si>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</si>
  <si>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</si>
  <si>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</si>
  <si>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</si>
  <si>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</si>
  <si>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</si>
  <si>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</si>
  <si>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</si>
  <si>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</si>
  <si>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</si>
  <si>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</si>
  <si>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</si>
  <si>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</si>
  <si>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</si>
  <si>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</si>
  <si>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</si>
  <si>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</si>
  <si>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</si>
  <si>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</si>
  <si>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</si>
  <si>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</si>
  <si>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</si>
  <si>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</si>
  <si>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</si>
  <si>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</si>
  <si>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</si>
  <si>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</si>
  <si>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</si>
  <si>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</si>
  <si>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</si>
  <si>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</si>
  <si>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</si>
  <si>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</si>
  <si>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</si>
  <si>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</si>
  <si>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</si>
  <si>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</si>
  <si>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</si>
  <si>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</si>
  <si>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</si>
  <si>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</si>
  <si>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</si>
  <si>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</si>
  <si>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</si>
  <si>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</si>
  <si>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</si>
  <si>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</si>
  <si>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</si>
  <si>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</si>
  <si>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</si>
  <si>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</si>
  <si>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</si>
  <si>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</si>
  <si>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</si>
  <si>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</si>
  <si>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</si>
  <si>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</si>
  <si>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</si>
  <si>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</si>
  <si>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</si>
  <si>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</si>
  <si>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</si>
  <si>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</si>
  <si>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</si>
  <si>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</si>
  <si>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</si>
  <si>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</si>
  <si>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</si>
  <si>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</si>
  <si>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</si>
  <si>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Details for Count of STOCK NAME - STOCK NAME: MARICO</t>
  </si>
  <si>
    <t>Details for Count of STOCK NAME - STOCK NAME: LODHA DEVELOPERS</t>
  </si>
  <si>
    <t>Details for Count of STOCK NAME - STOCK NAME: MEDANTA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</si>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</sst>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0" borderId="0" xfId="0" applyNumberFormat="1"/>
  </cellXfs>
  <cellStyles count="1">
    <cellStyle name="Normal" xfId="0" builtinId="0"/>
  </cellStyles>
  <dxfs count="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1.936734374998" createdVersion="8" refreshedVersion="8" minRefreshableVersion="3" recordCount="247" xr:uid="{B84C5445-1205-4208-AC00-FEAA0EB4DA90}">
  <cacheSource type="worksheet">
    <worksheetSource ref="A1:M1048576" sheet="Main sheet"/>
  </cacheSource>
  <cacheFields count="13">
    <cacheField name="S No." numFmtId="0">
      <sharedItems containsString="0" containsBlank="1" containsNumber="1" containsInteger="1" minValue="1" maxValue="246" count="24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m/>
      </sharedItems>
    </cacheField>
    <cacheField name="STOCK NAME" numFmtId="0">
      <sharedItems containsBlank="1" count="156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29T00:00:00"/>
    </cacheField>
    <cacheField name="Current price" numFmtId="0">
      <sharedItems containsString="0" containsBlank="1" containsNumber="1" minValue="59" maxValue="13735" count="177">
        <n v="3538"/>
        <n v="748"/>
        <n v="2056"/>
        <n v="1006"/>
        <n v="5881"/>
        <n v="1456"/>
        <n v="439.39"/>
        <n v="3104.84"/>
        <n v="1208.33"/>
        <n v="932.2"/>
        <n v="3318.97"/>
        <n v="1543"/>
        <n v="434"/>
        <n v="185"/>
        <n v="1783"/>
        <n v="767"/>
        <n v="835"/>
        <n v="537"/>
        <n v="1074"/>
        <n v="406"/>
        <n v="1090"/>
        <n v="2189"/>
        <n v="305"/>
        <n v="168.6"/>
        <n v="268"/>
        <n v="1438"/>
        <n v="1506"/>
        <n v="1039"/>
        <n v="3145"/>
        <n v="3089"/>
        <n v="2779"/>
        <n v="2306"/>
        <n v="1510"/>
        <n v="351"/>
        <n v="86"/>
        <n v="4710"/>
        <n v="141"/>
        <n v="2743"/>
        <n v="276"/>
        <n v="2020"/>
        <n v="3171"/>
        <n v="1860"/>
        <n v="7625"/>
        <m/>
        <n v="210"/>
        <n v="1953"/>
        <n v="1079"/>
        <n v="1465"/>
        <n v="374"/>
        <n v="1520"/>
        <n v="217"/>
        <n v="153"/>
        <n v="419"/>
        <n v="2210"/>
        <n v="59"/>
        <n v="1026"/>
        <n v="420"/>
        <n v="960"/>
        <n v="3653"/>
        <n v="353"/>
        <n v="7965"/>
        <n v="1446"/>
        <n v="3013"/>
        <n v="1992"/>
        <n v="416"/>
        <n v="1889"/>
        <n v="264"/>
        <n v="376"/>
        <n v="1413"/>
        <n v="1415"/>
        <n v="2103"/>
        <n v="484"/>
        <n v="1288"/>
        <n v="1336"/>
        <n v="454"/>
        <n v="12667"/>
        <n v="829"/>
        <n v="3891"/>
        <n v="346"/>
        <n v="1112"/>
        <n v="199"/>
        <n v="2123"/>
        <n v="1019"/>
        <n v="413"/>
        <n v="1384"/>
        <n v="1455"/>
        <n v="13735"/>
        <n v="391"/>
        <n v="1231"/>
        <n v="575"/>
        <n v="1132"/>
        <n v="1046"/>
        <n v="2441"/>
        <n v="840"/>
        <n v="802"/>
        <n v="4628"/>
        <n v="1396"/>
        <n v="1503"/>
        <n v="976"/>
        <n v="508"/>
        <n v="1628"/>
        <n v="1412"/>
        <n v="1018"/>
        <n v="856"/>
        <n v="1027"/>
        <n v="1360"/>
        <n v="1882"/>
        <n v="235"/>
        <n v="548"/>
        <n v="310"/>
        <n v="352"/>
        <n v="4484"/>
        <n v="2246"/>
        <n v="78"/>
        <n v="3213"/>
        <n v="289"/>
        <n v="1516"/>
        <n v="1110"/>
        <n v="848"/>
        <n v="1785"/>
        <n v="317"/>
        <n v="415"/>
        <n v="421"/>
        <n v="1200"/>
        <n v="328"/>
        <n v="13477"/>
        <n v="1507"/>
        <n v="1954"/>
        <n v="3429"/>
        <n v="1431"/>
        <n v="321"/>
        <n v="871"/>
        <n v="760"/>
        <n v="308"/>
        <n v="3206"/>
        <n v="1221"/>
        <n v="168"/>
        <n v="449"/>
        <n v="1604"/>
        <n v="1826"/>
        <n v="1840"/>
        <n v="7203"/>
        <n v="4133"/>
        <n v="1204"/>
        <n v="216"/>
        <n v="350"/>
        <n v="2185"/>
        <n v="725"/>
        <n v="435"/>
        <n v="204"/>
        <n v="1444"/>
        <n v="1237"/>
        <n v="3388"/>
        <n v="1348"/>
        <n v="1862"/>
        <n v="1908"/>
        <n v="623"/>
        <n v="10404"/>
        <n v="4582"/>
        <n v="94.36"/>
        <n v="1494"/>
        <n v="448"/>
        <n v="726"/>
        <n v="1148"/>
        <n v="188"/>
        <n v="109"/>
        <n v="3230"/>
        <n v="668.2"/>
        <n v="1846"/>
        <n v="2439"/>
        <n v="1283"/>
        <n v="81"/>
        <n v="1601"/>
        <n v="572"/>
        <n v="1199"/>
        <n v="525"/>
        <n v="1220"/>
      </sharedItems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x v="0"/>
    <x v="0"/>
    <m/>
    <d v="2026-06-01T00:00:00"/>
    <x v="0"/>
    <n v="3690"/>
    <n v="3450"/>
    <m/>
    <n v="4.2962125494629737E-2"/>
    <m/>
    <m/>
    <m/>
    <m/>
  </r>
  <r>
    <x v="1"/>
    <x v="1"/>
    <m/>
    <d v="2026-06-01T00:00:00"/>
    <x v="1"/>
    <m/>
    <m/>
    <m/>
    <n v="-1"/>
    <m/>
    <m/>
    <m/>
    <m/>
  </r>
  <r>
    <x v="2"/>
    <x v="2"/>
    <m/>
    <d v="2026-06-01T00:00:00"/>
    <x v="2"/>
    <m/>
    <m/>
    <m/>
    <n v="-1"/>
    <d v="2026-06-18T00:00:00"/>
    <n v="2365"/>
    <m/>
    <m/>
  </r>
  <r>
    <x v="3"/>
    <x v="3"/>
    <m/>
    <d v="2026-06-01T00:00:00"/>
    <x v="3"/>
    <n v="1160"/>
    <m/>
    <m/>
    <n v="0.15308151093439365"/>
    <d v="2026-06-02T00:00:00"/>
    <n v="1344"/>
    <m/>
    <m/>
  </r>
  <r>
    <x v="4"/>
    <x v="4"/>
    <m/>
    <d v="2026-06-01T00:00:00"/>
    <x v="4"/>
    <n v="6600"/>
    <m/>
    <m/>
    <n v="0.12225811936745451"/>
    <m/>
    <m/>
    <m/>
    <m/>
  </r>
  <r>
    <x v="5"/>
    <x v="5"/>
    <m/>
    <d v="2026-06-01T00:00:00"/>
    <x v="5"/>
    <n v="1483"/>
    <n v="1438"/>
    <m/>
    <n v="1.8543956043956044E-2"/>
    <d v="2026-06-02T00:00:00"/>
    <n v="1488"/>
    <m/>
    <m/>
  </r>
  <r>
    <x v="6"/>
    <x v="6"/>
    <m/>
    <d v="2026-06-02T00:00:00"/>
    <x v="6"/>
    <n v="580"/>
    <m/>
    <m/>
    <n v="0.3200118345888619"/>
    <m/>
    <m/>
    <m/>
    <m/>
  </r>
  <r>
    <x v="7"/>
    <x v="7"/>
    <m/>
    <d v="2026-06-02T00:00:00"/>
    <x v="7"/>
    <n v="3850"/>
    <m/>
    <m/>
    <n v="0.23999948467553878"/>
    <m/>
    <m/>
    <m/>
    <m/>
  </r>
  <r>
    <x v="8"/>
    <x v="8"/>
    <m/>
    <d v="2026-06-02T00:00:00"/>
    <x v="8"/>
    <n v="1450"/>
    <m/>
    <m/>
    <n v="0.20000331035395966"/>
    <m/>
    <m/>
    <m/>
    <m/>
  </r>
  <r>
    <x v="9"/>
    <x v="9"/>
    <m/>
    <d v="2026-06-02T00:00:00"/>
    <x v="9"/>
    <n v="1100"/>
    <m/>
    <m/>
    <n v="0.18000429092469422"/>
    <m/>
    <m/>
    <m/>
    <m/>
  </r>
  <r>
    <x v="10"/>
    <x v="10"/>
    <m/>
    <d v="2026-06-02T00:00:00"/>
    <x v="10"/>
    <n v="3850"/>
    <m/>
    <m/>
    <n v="0.15999843324886945"/>
    <m/>
    <m/>
    <m/>
    <m/>
  </r>
  <r>
    <x v="11"/>
    <x v="11"/>
    <m/>
    <d v="2026-06-02T00:00:00"/>
    <x v="11"/>
    <n v="1720"/>
    <m/>
    <m/>
    <n v="0.11471160077770577"/>
    <m/>
    <m/>
    <m/>
    <m/>
  </r>
  <r>
    <x v="12"/>
    <x v="12"/>
    <m/>
    <d v="2026-06-02T00:00:00"/>
    <x v="12"/>
    <m/>
    <m/>
    <m/>
    <n v="-1"/>
    <m/>
    <m/>
    <m/>
    <m/>
  </r>
  <r>
    <x v="13"/>
    <x v="13"/>
    <m/>
    <d v="2026-06-02T00:00:00"/>
    <x v="13"/>
    <n v="235"/>
    <m/>
    <m/>
    <n v="0.27027027027027029"/>
    <m/>
    <m/>
    <m/>
    <m/>
  </r>
  <r>
    <x v="14"/>
    <x v="14"/>
    <m/>
    <d v="2026-06-02T00:00:00"/>
    <x v="14"/>
    <n v="2050"/>
    <m/>
    <m/>
    <n v="0.14974761637689288"/>
    <m/>
    <m/>
    <m/>
    <m/>
  </r>
  <r>
    <x v="15"/>
    <x v="1"/>
    <m/>
    <d v="2026-06-02T00:00:00"/>
    <x v="15"/>
    <n v="890"/>
    <n v="705"/>
    <m/>
    <n v="0.16036505867014342"/>
    <m/>
    <m/>
    <m/>
    <m/>
  </r>
  <r>
    <x v="16"/>
    <x v="15"/>
    <m/>
    <d v="2026-06-03T00:00:00"/>
    <x v="16"/>
    <m/>
    <m/>
    <m/>
    <n v="-1"/>
    <m/>
    <m/>
    <m/>
    <m/>
  </r>
  <r>
    <x v="17"/>
    <x v="16"/>
    <m/>
    <d v="2026-06-03T00:00:00"/>
    <x v="17"/>
    <n v="580"/>
    <n v="510"/>
    <m/>
    <n v="8.0074487895716945E-2"/>
    <m/>
    <m/>
    <m/>
    <m/>
  </r>
  <r>
    <x v="18"/>
    <x v="17"/>
    <m/>
    <d v="2026-06-03T00:00:00"/>
    <x v="18"/>
    <m/>
    <m/>
    <m/>
    <n v="-1"/>
    <m/>
    <m/>
    <m/>
    <m/>
  </r>
  <r>
    <x v="19"/>
    <x v="18"/>
    <m/>
    <d v="2026-06-03T00:00:00"/>
    <x v="19"/>
    <m/>
    <m/>
    <m/>
    <n v="-1"/>
    <m/>
    <m/>
    <m/>
    <m/>
  </r>
  <r>
    <x v="20"/>
    <x v="19"/>
    <m/>
    <d v="2026-06-03T00:00:00"/>
    <x v="20"/>
    <n v="1200"/>
    <m/>
    <m/>
    <n v="0.10091743119266056"/>
    <m/>
    <m/>
    <m/>
    <m/>
  </r>
  <r>
    <x v="21"/>
    <x v="1"/>
    <m/>
    <d v="2026-06-03T00:00:00"/>
    <x v="15"/>
    <n v="890"/>
    <n v="705"/>
    <n v="1153"/>
    <n v="0.16036505867014342"/>
    <m/>
    <m/>
    <m/>
    <m/>
  </r>
  <r>
    <x v="22"/>
    <x v="20"/>
    <m/>
    <d v="2026-06-04T00:00:00"/>
    <x v="21"/>
    <n v="2484"/>
    <n v="2040"/>
    <m/>
    <n v="0.13476473275468251"/>
    <m/>
    <m/>
    <m/>
    <m/>
  </r>
  <r>
    <x v="23"/>
    <x v="21"/>
    <m/>
    <d v="2026-06-09T00:00:00"/>
    <x v="22"/>
    <n v="325"/>
    <n v="295"/>
    <m/>
    <n v="6.5573770491803282E-2"/>
    <d v="2026-06-16T00:00:00"/>
    <n v="320"/>
    <m/>
    <m/>
  </r>
  <r>
    <x v="24"/>
    <x v="22"/>
    <m/>
    <d v="2026-06-09T00:00:00"/>
    <x v="23"/>
    <m/>
    <m/>
    <m/>
    <n v="-1"/>
    <m/>
    <m/>
    <m/>
    <m/>
  </r>
  <r>
    <x v="25"/>
    <x v="23"/>
    <m/>
    <d v="2026-06-09T00:00:00"/>
    <x v="24"/>
    <n v="360"/>
    <m/>
    <m/>
    <n v="0.34328358208955223"/>
    <m/>
    <n v="348"/>
    <m/>
    <m/>
  </r>
  <r>
    <x v="26"/>
    <x v="1"/>
    <m/>
    <d v="2026-06-09T00:00:00"/>
    <x v="15"/>
    <n v="890"/>
    <n v="705"/>
    <m/>
    <m/>
    <d v="2026-06-11T00:00:00"/>
    <n v="960"/>
    <m/>
    <m/>
  </r>
  <r>
    <x v="27"/>
    <x v="24"/>
    <m/>
    <d v="2026-06-11T00:00:00"/>
    <x v="25"/>
    <n v="1550"/>
    <n v="1388"/>
    <m/>
    <m/>
    <m/>
    <m/>
    <m/>
    <m/>
  </r>
  <r>
    <x v="28"/>
    <x v="25"/>
    <m/>
    <d v="2026-06-11T00:00:00"/>
    <x v="26"/>
    <m/>
    <n v="1450"/>
    <m/>
    <m/>
    <m/>
    <m/>
    <m/>
    <m/>
  </r>
  <r>
    <x v="29"/>
    <x v="26"/>
    <m/>
    <d v="2026-06-11T00:00:00"/>
    <x v="27"/>
    <n v="1280"/>
    <m/>
    <m/>
    <m/>
    <m/>
    <m/>
    <m/>
    <m/>
  </r>
  <r>
    <x v="30"/>
    <x v="27"/>
    <m/>
    <d v="2026-06-11T00:00:00"/>
    <x v="28"/>
    <n v="3900"/>
    <m/>
    <m/>
    <m/>
    <m/>
    <m/>
    <m/>
    <m/>
  </r>
  <r>
    <x v="31"/>
    <x v="28"/>
    <m/>
    <d v="2026-06-12T00:00:00"/>
    <x v="29"/>
    <n v="3270"/>
    <n v="3000"/>
    <m/>
    <m/>
    <m/>
    <m/>
    <m/>
    <m/>
  </r>
  <r>
    <x v="32"/>
    <x v="29"/>
    <m/>
    <d v="2026-06-12T00:00:00"/>
    <x v="30"/>
    <m/>
    <m/>
    <m/>
    <m/>
    <m/>
    <m/>
    <m/>
    <m/>
  </r>
  <r>
    <x v="33"/>
    <x v="30"/>
    <m/>
    <d v="2026-06-12T00:00:00"/>
    <x v="31"/>
    <m/>
    <m/>
    <m/>
    <m/>
    <m/>
    <m/>
    <m/>
    <m/>
  </r>
  <r>
    <x v="34"/>
    <x v="31"/>
    <m/>
    <d v="2026-06-12T00:00:00"/>
    <x v="32"/>
    <n v="1860"/>
    <m/>
    <m/>
    <m/>
    <m/>
    <m/>
    <m/>
    <m/>
  </r>
  <r>
    <x v="35"/>
    <x v="32"/>
    <m/>
    <d v="2026-06-12T00:00:00"/>
    <x v="33"/>
    <n v="405"/>
    <n v="322"/>
    <m/>
    <m/>
    <m/>
    <m/>
    <m/>
    <m/>
  </r>
  <r>
    <x v="36"/>
    <x v="33"/>
    <m/>
    <d v="2026-06-15T00:00:00"/>
    <x v="34"/>
    <n v="105"/>
    <n v="76"/>
    <m/>
    <m/>
    <m/>
    <m/>
    <m/>
    <m/>
  </r>
  <r>
    <x v="37"/>
    <x v="34"/>
    <m/>
    <d v="2026-06-15T00:00:00"/>
    <x v="35"/>
    <n v="5600"/>
    <m/>
    <m/>
    <m/>
    <m/>
    <m/>
    <m/>
    <m/>
  </r>
  <r>
    <x v="38"/>
    <x v="35"/>
    <m/>
    <d v="2026-06-15T00:00:00"/>
    <x v="36"/>
    <m/>
    <m/>
    <m/>
    <m/>
    <m/>
    <m/>
    <m/>
    <m/>
  </r>
  <r>
    <x v="39"/>
    <x v="36"/>
    <m/>
    <d v="2026-06-15T00:00:00"/>
    <x v="37"/>
    <m/>
    <m/>
    <m/>
    <m/>
    <m/>
    <m/>
    <m/>
    <m/>
  </r>
  <r>
    <x v="40"/>
    <x v="37"/>
    <m/>
    <d v="2026-06-15T00:00:00"/>
    <x v="38"/>
    <n v="294"/>
    <n v="265"/>
    <m/>
    <m/>
    <m/>
    <m/>
    <m/>
    <m/>
  </r>
  <r>
    <x v="41"/>
    <x v="38"/>
    <m/>
    <d v="2026-06-16T00:00:00"/>
    <x v="39"/>
    <n v="2200"/>
    <n v="1940"/>
    <m/>
    <m/>
    <m/>
    <m/>
    <m/>
    <m/>
  </r>
  <r>
    <x v="42"/>
    <x v="28"/>
    <m/>
    <d v="2026-06-16T00:00:00"/>
    <x v="40"/>
    <m/>
    <m/>
    <m/>
    <m/>
    <m/>
    <m/>
    <m/>
    <m/>
  </r>
  <r>
    <x v="43"/>
    <x v="39"/>
    <m/>
    <d v="2026-06-16T00:00:00"/>
    <x v="41"/>
    <m/>
    <m/>
    <m/>
    <m/>
    <m/>
    <m/>
    <m/>
    <m/>
  </r>
  <r>
    <x v="44"/>
    <x v="40"/>
    <m/>
    <d v="2026-06-16T00:00:00"/>
    <x v="42"/>
    <m/>
    <m/>
    <m/>
    <m/>
    <m/>
    <m/>
    <m/>
    <m/>
  </r>
  <r>
    <x v="45"/>
    <x v="41"/>
    <m/>
    <d v="2026-06-16T00:00:00"/>
    <x v="43"/>
    <n v="217"/>
    <m/>
    <m/>
    <m/>
    <m/>
    <m/>
    <m/>
    <m/>
  </r>
  <r>
    <x v="46"/>
    <x v="42"/>
    <m/>
    <d v="2026-06-16T00:00:00"/>
    <x v="43"/>
    <n v="125"/>
    <m/>
    <m/>
    <m/>
    <m/>
    <m/>
    <m/>
    <m/>
  </r>
  <r>
    <x v="47"/>
    <x v="43"/>
    <m/>
    <d v="2026-06-16T00:00:00"/>
    <x v="43"/>
    <n v="1765"/>
    <m/>
    <m/>
    <m/>
    <m/>
    <m/>
    <m/>
    <m/>
  </r>
  <r>
    <x v="48"/>
    <x v="44"/>
    <m/>
    <d v="2026-06-16T00:00:00"/>
    <x v="44"/>
    <m/>
    <m/>
    <m/>
    <n v="1.4E-2"/>
    <d v="2026-06-16T00:00:00"/>
    <n v="218"/>
    <m/>
    <m/>
  </r>
  <r>
    <x v="49"/>
    <x v="33"/>
    <m/>
    <d v="2026-06-16T00:00:00"/>
    <x v="34"/>
    <n v="105"/>
    <n v="76"/>
    <m/>
    <m/>
    <m/>
    <m/>
    <m/>
    <m/>
  </r>
  <r>
    <x v="50"/>
    <x v="38"/>
    <m/>
    <d v="2026-06-17T00:00:00"/>
    <x v="45"/>
    <n v="2220"/>
    <n v="1820"/>
    <m/>
    <m/>
    <m/>
    <m/>
    <m/>
    <m/>
  </r>
  <r>
    <x v="51"/>
    <x v="45"/>
    <m/>
    <d v="2026-06-17T00:00:00"/>
    <x v="46"/>
    <m/>
    <m/>
    <m/>
    <m/>
    <m/>
    <m/>
    <m/>
    <m/>
  </r>
  <r>
    <x v="52"/>
    <x v="5"/>
    <m/>
    <d v="2026-06-17T00:00:00"/>
    <x v="47"/>
    <n v="1900"/>
    <m/>
    <m/>
    <m/>
    <m/>
    <m/>
    <m/>
    <m/>
  </r>
  <r>
    <x v="53"/>
    <x v="46"/>
    <m/>
    <d v="2026-06-17T00:00:00"/>
    <x v="48"/>
    <m/>
    <m/>
    <m/>
    <m/>
    <m/>
    <m/>
    <m/>
    <m/>
  </r>
  <r>
    <x v="54"/>
    <x v="47"/>
    <m/>
    <d v="2026-06-17T00:00:00"/>
    <x v="49"/>
    <m/>
    <m/>
    <m/>
    <m/>
    <m/>
    <m/>
    <m/>
    <m/>
  </r>
  <r>
    <x v="55"/>
    <x v="44"/>
    <m/>
    <d v="2026-06-17T00:00:00"/>
    <x v="50"/>
    <n v="234"/>
    <n v="204"/>
    <m/>
    <m/>
    <m/>
    <m/>
    <m/>
    <m/>
  </r>
  <r>
    <x v="56"/>
    <x v="48"/>
    <m/>
    <d v="2026-06-17T00:00:00"/>
    <x v="51"/>
    <n v="159"/>
    <n v="151"/>
    <m/>
    <m/>
    <d v="2026-06-17T00:00:00"/>
    <n v="156.6"/>
    <m/>
    <m/>
  </r>
  <r>
    <x v="57"/>
    <x v="49"/>
    <m/>
    <d v="2026-06-18T00:00:00"/>
    <x v="52"/>
    <n v="510"/>
    <m/>
    <m/>
    <m/>
    <m/>
    <m/>
    <m/>
    <m/>
  </r>
  <r>
    <x v="58"/>
    <x v="2"/>
    <m/>
    <d v="2026-06-18T00:00:00"/>
    <x v="53"/>
    <n v="2600"/>
    <m/>
    <m/>
    <m/>
    <m/>
    <n v="2450"/>
    <m/>
    <m/>
  </r>
  <r>
    <x v="59"/>
    <x v="50"/>
    <m/>
    <d v="2026-06-18T00:00:00"/>
    <x v="54"/>
    <m/>
    <m/>
    <m/>
    <m/>
    <m/>
    <m/>
    <m/>
    <m/>
  </r>
  <r>
    <x v="60"/>
    <x v="51"/>
    <m/>
    <d v="2026-06-18T00:00:00"/>
    <x v="55"/>
    <m/>
    <m/>
    <m/>
    <m/>
    <m/>
    <m/>
    <m/>
    <m/>
  </r>
  <r>
    <x v="61"/>
    <x v="49"/>
    <m/>
    <d v="2026-06-18T00:00:00"/>
    <x v="56"/>
    <m/>
    <m/>
    <m/>
    <m/>
    <m/>
    <m/>
    <m/>
    <m/>
  </r>
  <r>
    <x v="62"/>
    <x v="52"/>
    <m/>
    <d v="2026-06-18T00:00:00"/>
    <x v="57"/>
    <n v="1022"/>
    <n v="930"/>
    <m/>
    <m/>
    <m/>
    <m/>
    <m/>
    <m/>
  </r>
  <r>
    <x v="63"/>
    <x v="53"/>
    <m/>
    <d v="2026-06-19T00:00:00"/>
    <x v="58"/>
    <n v="4100"/>
    <n v="3415"/>
    <m/>
    <m/>
    <m/>
    <m/>
    <m/>
    <m/>
  </r>
  <r>
    <x v="64"/>
    <x v="54"/>
    <m/>
    <d v="2026-06-19T00:00:00"/>
    <x v="59"/>
    <n v="400"/>
    <m/>
    <m/>
    <m/>
    <m/>
    <m/>
    <m/>
    <m/>
  </r>
  <r>
    <x v="65"/>
    <x v="55"/>
    <m/>
    <d v="2026-06-19T00:00:00"/>
    <x v="60"/>
    <n v="8450"/>
    <m/>
    <m/>
    <m/>
    <m/>
    <m/>
    <m/>
    <m/>
  </r>
  <r>
    <x v="66"/>
    <x v="56"/>
    <m/>
    <d v="2026-06-19T00:00:00"/>
    <x v="19"/>
    <m/>
    <m/>
    <m/>
    <m/>
    <m/>
    <m/>
    <m/>
    <m/>
  </r>
  <r>
    <x v="67"/>
    <x v="57"/>
    <m/>
    <d v="2026-06-19T00:00:00"/>
    <x v="61"/>
    <m/>
    <m/>
    <m/>
    <m/>
    <m/>
    <m/>
    <m/>
    <m/>
  </r>
  <r>
    <x v="68"/>
    <x v="58"/>
    <m/>
    <d v="2026-06-19T00:00:00"/>
    <x v="62"/>
    <n v="3230"/>
    <n v="2845"/>
    <m/>
    <m/>
    <m/>
    <m/>
    <m/>
    <m/>
  </r>
  <r>
    <x v="69"/>
    <x v="59"/>
    <m/>
    <d v="2026-06-19T00:00:00"/>
    <x v="43"/>
    <m/>
    <m/>
    <m/>
    <n v="0.09"/>
    <m/>
    <m/>
    <m/>
    <m/>
  </r>
  <r>
    <x v="70"/>
    <x v="53"/>
    <m/>
    <d v="2026-06-22T00:00:00"/>
    <x v="58"/>
    <n v="4100"/>
    <n v="3415"/>
    <m/>
    <m/>
    <m/>
    <m/>
    <m/>
    <m/>
  </r>
  <r>
    <x v="71"/>
    <x v="60"/>
    <m/>
    <d v="2026-06-22T00:00:00"/>
    <x v="63"/>
    <n v="2350"/>
    <m/>
    <m/>
    <n v="0.2"/>
    <d v="2026-06-22T00:00:00"/>
    <m/>
    <m/>
    <m/>
  </r>
  <r>
    <x v="72"/>
    <x v="6"/>
    <m/>
    <d v="2026-06-22T00:00:00"/>
    <x v="64"/>
    <n v="580"/>
    <m/>
    <m/>
    <n v="0.05"/>
    <m/>
    <m/>
    <m/>
    <m/>
  </r>
  <r>
    <x v="73"/>
    <x v="61"/>
    <m/>
    <d v="2026-06-22T00:00:00"/>
    <x v="65"/>
    <m/>
    <m/>
    <m/>
    <m/>
    <m/>
    <m/>
    <m/>
    <m/>
  </r>
  <r>
    <x v="74"/>
    <x v="62"/>
    <m/>
    <d v="2026-06-22T00:00:00"/>
    <x v="66"/>
    <m/>
    <m/>
    <m/>
    <m/>
    <m/>
    <m/>
    <m/>
    <m/>
  </r>
  <r>
    <x v="75"/>
    <x v="46"/>
    <m/>
    <d v="2026-06-22T00:00:00"/>
    <x v="67"/>
    <m/>
    <m/>
    <m/>
    <m/>
    <m/>
    <m/>
    <m/>
    <m/>
  </r>
  <r>
    <x v="76"/>
    <x v="63"/>
    <m/>
    <d v="2026-06-22T00:00:00"/>
    <x v="68"/>
    <n v="1560"/>
    <n v="1340"/>
    <m/>
    <m/>
    <m/>
    <m/>
    <m/>
    <m/>
  </r>
  <r>
    <x v="77"/>
    <x v="64"/>
    <m/>
    <d v="2026-06-23T00:00:00"/>
    <x v="69"/>
    <n v="1530"/>
    <n v="1360"/>
    <m/>
    <m/>
    <d v="2026-06-30T00:00:00"/>
    <n v="1485"/>
    <m/>
    <m/>
  </r>
  <r>
    <x v="78"/>
    <x v="38"/>
    <m/>
    <d v="2026-06-23T00:00:00"/>
    <x v="70"/>
    <m/>
    <m/>
    <m/>
    <m/>
    <m/>
    <m/>
    <m/>
    <m/>
  </r>
  <r>
    <x v="79"/>
    <x v="6"/>
    <m/>
    <d v="2026-06-23T00:00:00"/>
    <x v="71"/>
    <m/>
    <m/>
    <m/>
    <m/>
    <m/>
    <m/>
    <m/>
    <m/>
  </r>
  <r>
    <x v="80"/>
    <x v="65"/>
    <m/>
    <d v="2026-06-23T00:00:00"/>
    <x v="72"/>
    <n v="1490"/>
    <m/>
    <m/>
    <n v="0.16"/>
    <m/>
    <m/>
    <m/>
    <m/>
  </r>
  <r>
    <x v="81"/>
    <x v="66"/>
    <m/>
    <d v="2026-06-23T00:00:00"/>
    <x v="73"/>
    <n v="1620"/>
    <m/>
    <m/>
    <n v="0.21"/>
    <m/>
    <n v="1430"/>
    <m/>
    <m/>
  </r>
  <r>
    <x v="82"/>
    <x v="53"/>
    <m/>
    <d v="2026-06-23T00:00:00"/>
    <x v="58"/>
    <n v="4100"/>
    <n v="3415"/>
    <m/>
    <m/>
    <m/>
    <m/>
    <m/>
    <m/>
  </r>
  <r>
    <x v="83"/>
    <x v="67"/>
    <m/>
    <d v="2026-06-24T00:00:00"/>
    <x v="74"/>
    <n v="540"/>
    <m/>
    <m/>
    <m/>
    <m/>
    <m/>
    <m/>
    <m/>
  </r>
  <r>
    <x v="84"/>
    <x v="68"/>
    <m/>
    <d v="2026-06-24T00:00:00"/>
    <x v="75"/>
    <n v="15290"/>
    <n v="11400"/>
    <m/>
    <m/>
    <m/>
    <m/>
    <m/>
    <m/>
  </r>
  <r>
    <x v="85"/>
    <x v="69"/>
    <m/>
    <d v="2026-06-24T00:00:00"/>
    <x v="76"/>
    <n v="1110"/>
    <m/>
    <m/>
    <m/>
    <m/>
    <m/>
    <m/>
    <n v="12"/>
  </r>
  <r>
    <x v="86"/>
    <x v="70"/>
    <m/>
    <d v="2026-06-24T00:00:00"/>
    <x v="77"/>
    <m/>
    <m/>
    <m/>
    <m/>
    <m/>
    <m/>
    <m/>
    <m/>
  </r>
  <r>
    <x v="87"/>
    <x v="71"/>
    <m/>
    <d v="2026-06-24T00:00:00"/>
    <x v="78"/>
    <m/>
    <m/>
    <m/>
    <m/>
    <m/>
    <m/>
    <m/>
    <m/>
  </r>
  <r>
    <x v="88"/>
    <x v="45"/>
    <m/>
    <d v="2026-06-24T00:00:00"/>
    <x v="79"/>
    <n v="1185"/>
    <n v="1080"/>
    <m/>
    <m/>
    <m/>
    <m/>
    <m/>
    <m/>
  </r>
  <r>
    <x v="89"/>
    <x v="13"/>
    <m/>
    <d v="2026-06-24T00:00:00"/>
    <x v="80"/>
    <n v="204"/>
    <n v="197"/>
    <m/>
    <m/>
    <m/>
    <m/>
    <m/>
    <m/>
  </r>
  <r>
    <x v="90"/>
    <x v="53"/>
    <m/>
    <d v="2026-06-25T00:00:00"/>
    <x v="58"/>
    <n v="4100"/>
    <n v="3415"/>
    <m/>
    <m/>
    <m/>
    <m/>
    <m/>
    <m/>
  </r>
  <r>
    <x v="91"/>
    <x v="38"/>
    <m/>
    <d v="2026-06-25T00:00:00"/>
    <x v="81"/>
    <m/>
    <m/>
    <m/>
    <m/>
    <m/>
    <m/>
    <m/>
    <m/>
  </r>
  <r>
    <x v="92"/>
    <x v="72"/>
    <m/>
    <d v="2026-06-25T00:00:00"/>
    <x v="82"/>
    <n v="1175"/>
    <m/>
    <n v="1033"/>
    <m/>
    <m/>
    <m/>
    <m/>
    <m/>
  </r>
  <r>
    <x v="93"/>
    <x v="73"/>
    <m/>
    <d v="2026-06-25T00:00:00"/>
    <x v="83"/>
    <m/>
    <m/>
    <m/>
    <m/>
    <m/>
    <m/>
    <m/>
    <m/>
  </r>
  <r>
    <x v="94"/>
    <x v="74"/>
    <m/>
    <d v="2026-06-25T00:00:00"/>
    <x v="84"/>
    <n v="1441"/>
    <n v="1350"/>
    <m/>
    <m/>
    <m/>
    <m/>
    <m/>
    <m/>
  </r>
  <r>
    <x v="95"/>
    <x v="75"/>
    <m/>
    <d v="2026-06-29T00:00:00"/>
    <x v="85"/>
    <n v="1570"/>
    <n v="1380"/>
    <m/>
    <m/>
    <m/>
    <m/>
    <m/>
    <m/>
  </r>
  <r>
    <x v="96"/>
    <x v="76"/>
    <m/>
    <d v="2026-06-29T00:00:00"/>
    <x v="86"/>
    <m/>
    <m/>
    <m/>
    <m/>
    <m/>
    <m/>
    <m/>
    <m/>
  </r>
  <r>
    <x v="97"/>
    <x v="77"/>
    <m/>
    <d v="2026-06-29T00:00:00"/>
    <x v="87"/>
    <m/>
    <m/>
    <m/>
    <m/>
    <m/>
    <m/>
    <m/>
    <m/>
  </r>
  <r>
    <x v="98"/>
    <x v="78"/>
    <m/>
    <d v="2026-06-29T00:00:00"/>
    <x v="88"/>
    <n v="1520"/>
    <m/>
    <m/>
    <m/>
    <m/>
    <m/>
    <m/>
    <m/>
  </r>
  <r>
    <x v="99"/>
    <x v="79"/>
    <m/>
    <d v="2026-06-29T00:00:00"/>
    <x v="89"/>
    <n v="700"/>
    <m/>
    <m/>
    <m/>
    <m/>
    <m/>
    <m/>
    <m/>
  </r>
  <r>
    <x v="100"/>
    <x v="80"/>
    <m/>
    <d v="2026-06-29T00:00:00"/>
    <x v="90"/>
    <n v="1329"/>
    <n v="1035"/>
    <m/>
    <m/>
    <m/>
    <m/>
    <m/>
    <m/>
  </r>
  <r>
    <x v="101"/>
    <x v="72"/>
    <m/>
    <d v="2026-06-29T00:00:00"/>
    <x v="91"/>
    <n v="1205"/>
    <n v="968"/>
    <m/>
    <m/>
    <m/>
    <m/>
    <m/>
    <m/>
  </r>
  <r>
    <x v="102"/>
    <x v="60"/>
    <m/>
    <d v="2026-07-01T00:00:00"/>
    <x v="92"/>
    <n v="2750"/>
    <m/>
    <m/>
    <m/>
    <m/>
    <m/>
    <m/>
    <m/>
  </r>
  <r>
    <x v="103"/>
    <x v="81"/>
    <m/>
    <d v="2026-07-01T00:00:00"/>
    <x v="93"/>
    <m/>
    <m/>
    <m/>
    <m/>
    <m/>
    <m/>
    <m/>
    <m/>
  </r>
  <r>
    <x v="104"/>
    <x v="82"/>
    <m/>
    <d v="2026-07-01T00:00:00"/>
    <x v="94"/>
    <m/>
    <m/>
    <m/>
    <m/>
    <m/>
    <m/>
    <m/>
    <m/>
  </r>
  <r>
    <x v="105"/>
    <x v="83"/>
    <m/>
    <d v="2026-07-01T00:00:00"/>
    <x v="95"/>
    <n v="4850"/>
    <n v="4500"/>
    <m/>
    <m/>
    <m/>
    <m/>
    <m/>
    <m/>
  </r>
  <r>
    <x v="106"/>
    <x v="84"/>
    <m/>
    <d v="2026-07-02T00:00:00"/>
    <x v="96"/>
    <n v="1940"/>
    <m/>
    <m/>
    <m/>
    <m/>
    <m/>
    <m/>
    <m/>
  </r>
  <r>
    <x v="107"/>
    <x v="85"/>
    <m/>
    <d v="2026-07-02T00:00:00"/>
    <x v="97"/>
    <n v="1780"/>
    <m/>
    <m/>
    <m/>
    <m/>
    <m/>
    <m/>
    <m/>
  </r>
  <r>
    <x v="108"/>
    <x v="86"/>
    <m/>
    <d v="2026-07-02T00:00:00"/>
    <x v="98"/>
    <m/>
    <m/>
    <m/>
    <m/>
    <m/>
    <m/>
    <m/>
    <m/>
  </r>
  <r>
    <x v="109"/>
    <x v="6"/>
    <m/>
    <d v="2026-07-02T00:00:00"/>
    <x v="99"/>
    <m/>
    <m/>
    <m/>
    <m/>
    <m/>
    <m/>
    <m/>
    <m/>
  </r>
  <r>
    <x v="110"/>
    <x v="47"/>
    <m/>
    <d v="2026-07-02T00:00:00"/>
    <x v="100"/>
    <n v="1760"/>
    <n v="1540"/>
    <m/>
    <m/>
    <m/>
    <m/>
    <m/>
    <m/>
  </r>
  <r>
    <x v="111"/>
    <x v="84"/>
    <m/>
    <d v="2026-07-03T00:00:00"/>
    <x v="101"/>
    <n v="1586"/>
    <n v="1331"/>
    <m/>
    <m/>
    <m/>
    <m/>
    <m/>
    <m/>
  </r>
  <r>
    <x v="112"/>
    <x v="87"/>
    <m/>
    <d v="2026-07-03T00:00:00"/>
    <x v="102"/>
    <m/>
    <m/>
    <m/>
    <m/>
    <m/>
    <m/>
    <m/>
    <m/>
  </r>
  <r>
    <x v="113"/>
    <x v="81"/>
    <m/>
    <d v="2026-07-03T00:00:00"/>
    <x v="103"/>
    <n v="950"/>
    <m/>
    <m/>
    <m/>
    <m/>
    <m/>
    <m/>
    <m/>
  </r>
  <r>
    <x v="114"/>
    <x v="88"/>
    <m/>
    <d v="2026-07-03T00:00:00"/>
    <x v="104"/>
    <m/>
    <m/>
    <m/>
    <m/>
    <m/>
    <m/>
    <m/>
    <m/>
  </r>
  <r>
    <x v="115"/>
    <x v="89"/>
    <m/>
    <d v="2026-07-03T00:00:00"/>
    <x v="105"/>
    <m/>
    <m/>
    <m/>
    <m/>
    <m/>
    <m/>
    <m/>
    <m/>
  </r>
  <r>
    <x v="116"/>
    <x v="14"/>
    <m/>
    <d v="2026-07-03T00:00:00"/>
    <x v="106"/>
    <n v="2017"/>
    <n v="1810"/>
    <m/>
    <m/>
    <m/>
    <m/>
    <m/>
    <m/>
  </r>
  <r>
    <x v="117"/>
    <x v="90"/>
    <m/>
    <d v="2026-07-06T00:00:00"/>
    <x v="107"/>
    <n v="288"/>
    <m/>
    <m/>
    <m/>
    <m/>
    <m/>
    <m/>
    <m/>
  </r>
  <r>
    <x v="118"/>
    <x v="91"/>
    <m/>
    <d v="2026-07-06T00:00:00"/>
    <x v="108"/>
    <n v="612"/>
    <n v="514"/>
    <m/>
    <m/>
    <m/>
    <m/>
    <m/>
    <m/>
  </r>
  <r>
    <x v="119"/>
    <x v="92"/>
    <m/>
    <d v="2026-07-06T00:00:00"/>
    <x v="109"/>
    <m/>
    <m/>
    <m/>
    <m/>
    <m/>
    <m/>
    <m/>
    <m/>
  </r>
  <r>
    <x v="120"/>
    <x v="54"/>
    <m/>
    <d v="2026-07-07T00:00:00"/>
    <x v="110"/>
    <m/>
    <m/>
    <m/>
    <m/>
    <m/>
    <m/>
    <m/>
    <m/>
  </r>
  <r>
    <x v="121"/>
    <x v="93"/>
    <m/>
    <d v="2026-07-07T00:00:00"/>
    <x v="111"/>
    <n v="5250"/>
    <m/>
    <m/>
    <m/>
    <m/>
    <m/>
    <m/>
    <m/>
  </r>
  <r>
    <x v="122"/>
    <x v="20"/>
    <m/>
    <d v="2026-07-07T00:00:00"/>
    <x v="112"/>
    <m/>
    <m/>
    <m/>
    <m/>
    <m/>
    <m/>
    <m/>
    <m/>
  </r>
  <r>
    <x v="123"/>
    <x v="94"/>
    <m/>
    <d v="2026-07-07T00:00:00"/>
    <x v="113"/>
    <m/>
    <m/>
    <m/>
    <m/>
    <m/>
    <m/>
    <m/>
    <m/>
  </r>
  <r>
    <x v="124"/>
    <x v="95"/>
    <m/>
    <d v="2026-07-07T00:00:00"/>
    <x v="114"/>
    <n v="3367"/>
    <n v="3130"/>
    <m/>
    <m/>
    <m/>
    <m/>
    <m/>
    <m/>
  </r>
  <r>
    <x v="125"/>
    <x v="62"/>
    <m/>
    <d v="2026-07-08T00:00:00"/>
    <x v="115"/>
    <n v="310"/>
    <n v="278"/>
    <m/>
    <m/>
    <m/>
    <m/>
    <m/>
    <m/>
  </r>
  <r>
    <x v="126"/>
    <x v="5"/>
    <m/>
    <d v="2026-07-08T00:00:00"/>
    <x v="116"/>
    <m/>
    <m/>
    <m/>
    <m/>
    <m/>
    <m/>
    <m/>
    <m/>
  </r>
  <r>
    <x v="127"/>
    <x v="96"/>
    <m/>
    <d v="2026-07-08T00:00:00"/>
    <x v="117"/>
    <m/>
    <m/>
    <m/>
    <m/>
    <m/>
    <m/>
    <m/>
    <m/>
  </r>
  <r>
    <x v="128"/>
    <x v="81"/>
    <m/>
    <d v="2026-07-08T00:00:00"/>
    <x v="118"/>
    <n v="1000"/>
    <m/>
    <m/>
    <m/>
    <m/>
    <m/>
    <m/>
    <m/>
  </r>
  <r>
    <x v="129"/>
    <x v="97"/>
    <m/>
    <d v="2026-07-08T00:00:00"/>
    <x v="119"/>
    <m/>
    <m/>
    <m/>
    <m/>
    <m/>
    <m/>
    <m/>
    <m/>
  </r>
  <r>
    <x v="130"/>
    <x v="92"/>
    <s v="Velocity Idea"/>
    <d v="2026-07-08T00:00:00"/>
    <x v="120"/>
    <n v="370"/>
    <n v="290"/>
    <m/>
    <m/>
    <m/>
    <m/>
    <m/>
    <m/>
  </r>
  <r>
    <x v="131"/>
    <x v="67"/>
    <m/>
    <d v="2026-07-09T00:00:00"/>
    <x v="121"/>
    <n v="540"/>
    <m/>
    <m/>
    <m/>
    <m/>
    <m/>
    <m/>
    <m/>
  </r>
  <r>
    <x v="132"/>
    <x v="98"/>
    <m/>
    <d v="2026-07-09T00:00:00"/>
    <x v="90"/>
    <n v="1406"/>
    <m/>
    <m/>
    <m/>
    <m/>
    <m/>
    <m/>
    <m/>
  </r>
  <r>
    <x v="133"/>
    <x v="99"/>
    <m/>
    <d v="2026-07-09T00:00:00"/>
    <x v="122"/>
    <m/>
    <m/>
    <m/>
    <m/>
    <m/>
    <m/>
    <m/>
    <m/>
  </r>
  <r>
    <x v="134"/>
    <x v="100"/>
    <s v="Conviction Delivery Idea"/>
    <d v="2026-07-09T00:00:00"/>
    <x v="123"/>
    <n v="1300"/>
    <n v="1150"/>
    <m/>
    <m/>
    <m/>
    <m/>
    <m/>
    <m/>
  </r>
  <r>
    <x v="135"/>
    <x v="92"/>
    <s v="Velocity Idea"/>
    <d v="2026-07-10T00:00:00"/>
    <x v="120"/>
    <n v="370"/>
    <n v="290"/>
    <m/>
    <m/>
    <m/>
    <m/>
    <m/>
    <m/>
  </r>
  <r>
    <x v="136"/>
    <x v="21"/>
    <s v="Fundamental "/>
    <d v="2026-07-10T00:00:00"/>
    <x v="124"/>
    <n v="375"/>
    <m/>
    <m/>
    <m/>
    <m/>
    <m/>
    <m/>
    <m/>
  </r>
  <r>
    <x v="137"/>
    <x v="68"/>
    <s v="Fundamental "/>
    <d v="2026-07-10T00:00:00"/>
    <x v="125"/>
    <n v="16100"/>
    <m/>
    <m/>
    <m/>
    <m/>
    <m/>
    <m/>
    <m/>
  </r>
  <r>
    <x v="138"/>
    <x v="63"/>
    <s v="Technical Radar"/>
    <d v="2026-07-10T00:00:00"/>
    <x v="126"/>
    <m/>
    <m/>
    <m/>
    <m/>
    <m/>
    <m/>
    <m/>
    <m/>
  </r>
  <r>
    <x v="139"/>
    <x v="101"/>
    <m/>
    <d v="2026-07-10T00:00:00"/>
    <x v="127"/>
    <m/>
    <m/>
    <m/>
    <m/>
    <m/>
    <m/>
    <m/>
    <m/>
  </r>
  <r>
    <x v="140"/>
    <x v="102"/>
    <s v="Technical Radar"/>
    <d v="2026-07-10T00:00:00"/>
    <x v="128"/>
    <n v="3715"/>
    <n v="3290"/>
    <m/>
    <m/>
    <m/>
    <m/>
    <m/>
    <m/>
  </r>
  <r>
    <x v="141"/>
    <x v="103"/>
    <s v="Consolidation Breakout"/>
    <d v="2026-07-13T00:00:00"/>
    <x v="129"/>
    <n v="1520"/>
    <n v="1380"/>
    <m/>
    <m/>
    <m/>
    <m/>
    <m/>
    <m/>
  </r>
  <r>
    <x v="142"/>
    <x v="104"/>
    <s v="Consolidation Breakout"/>
    <d v="2026-07-13T00:00:00"/>
    <x v="43"/>
    <m/>
    <m/>
    <m/>
    <m/>
    <m/>
    <m/>
    <m/>
    <m/>
  </r>
  <r>
    <x v="143"/>
    <x v="105"/>
    <m/>
    <d v="2026-07-13T00:00:00"/>
    <x v="43"/>
    <m/>
    <m/>
    <m/>
    <m/>
    <m/>
    <m/>
    <m/>
    <m/>
  </r>
  <r>
    <x v="144"/>
    <x v="106"/>
    <m/>
    <d v="2026-07-13T00:00:00"/>
    <x v="130"/>
    <n v="370"/>
    <m/>
    <m/>
    <m/>
    <m/>
    <m/>
    <m/>
    <m/>
  </r>
  <r>
    <x v="145"/>
    <x v="107"/>
    <m/>
    <d v="2026-07-13T00:00:00"/>
    <x v="131"/>
    <n v="1025"/>
    <m/>
    <m/>
    <m/>
    <m/>
    <m/>
    <m/>
    <m/>
  </r>
  <r>
    <x v="146"/>
    <x v="72"/>
    <s v="Velocity Idea"/>
    <d v="2026-07-13T00:00:00"/>
    <x v="91"/>
    <n v="1205"/>
    <n v="968"/>
    <m/>
    <m/>
    <m/>
    <m/>
    <m/>
    <m/>
  </r>
  <r>
    <x v="147"/>
    <x v="108"/>
    <m/>
    <d v="2026-07-14T00:00:00"/>
    <x v="132"/>
    <n v="830"/>
    <n v="727"/>
    <m/>
    <m/>
    <m/>
    <m/>
    <m/>
    <m/>
  </r>
  <r>
    <x v="148"/>
    <x v="109"/>
    <s v="Range breakout bullish candle"/>
    <d v="2026-07-14T00:00:00"/>
    <x v="33"/>
    <m/>
    <m/>
    <m/>
    <m/>
    <m/>
    <m/>
    <m/>
    <m/>
  </r>
  <r>
    <x v="149"/>
    <x v="110"/>
    <m/>
    <d v="2026-07-14T00:00:00"/>
    <x v="133"/>
    <m/>
    <m/>
    <m/>
    <m/>
    <m/>
    <m/>
    <m/>
    <m/>
  </r>
  <r>
    <x v="150"/>
    <x v="111"/>
    <m/>
    <d v="2026-07-14T00:00:00"/>
    <x v="134"/>
    <n v="3800"/>
    <m/>
    <m/>
    <m/>
    <m/>
    <m/>
    <m/>
    <m/>
  </r>
  <r>
    <x v="151"/>
    <x v="112"/>
    <m/>
    <d v="2026-07-14T00:00:00"/>
    <x v="135"/>
    <n v="1450"/>
    <m/>
    <m/>
    <m/>
    <m/>
    <m/>
    <m/>
    <m/>
  </r>
  <r>
    <x v="152"/>
    <x v="113"/>
    <s v="Fundamental "/>
    <d v="2026-07-15T00:00:00"/>
    <x v="136"/>
    <n v="200"/>
    <m/>
    <m/>
    <m/>
    <m/>
    <m/>
    <m/>
    <m/>
  </r>
  <r>
    <x v="153"/>
    <x v="114"/>
    <s v="Initiating coverage"/>
    <d v="2026-07-15T00:00:00"/>
    <x v="137"/>
    <n v="565"/>
    <m/>
    <m/>
    <m/>
    <m/>
    <m/>
    <m/>
    <m/>
  </r>
  <r>
    <x v="154"/>
    <x v="115"/>
    <s v="Watchlist"/>
    <d v="2026-07-15T00:00:00"/>
    <x v="138"/>
    <m/>
    <m/>
    <m/>
    <m/>
    <m/>
    <m/>
    <m/>
    <m/>
  </r>
  <r>
    <x v="155"/>
    <x v="116"/>
    <s v="Watchlist"/>
    <d v="2026-07-15T00:00:00"/>
    <x v="139"/>
    <m/>
    <m/>
    <m/>
    <m/>
    <m/>
    <m/>
    <m/>
    <m/>
  </r>
  <r>
    <x v="156"/>
    <x v="117"/>
    <s v="Technical Radar"/>
    <d v="2026-07-15T00:00:00"/>
    <x v="140"/>
    <n v="1790"/>
    <m/>
    <m/>
    <m/>
    <m/>
    <m/>
    <m/>
    <m/>
  </r>
  <r>
    <x v="157"/>
    <x v="116"/>
    <s v="Technical conviction"/>
    <d v="2026-07-16T00:00:00"/>
    <x v="41"/>
    <n v="1980"/>
    <n v="1800"/>
    <m/>
    <m/>
    <m/>
    <m/>
    <m/>
    <m/>
  </r>
  <r>
    <x v="158"/>
    <x v="118"/>
    <s v="Watchlist"/>
    <d v="2026-07-16T00:00:00"/>
    <x v="141"/>
    <m/>
    <m/>
    <m/>
    <m/>
    <m/>
    <m/>
    <m/>
    <m/>
  </r>
  <r>
    <x v="159"/>
    <x v="119"/>
    <s v="Watchlist"/>
    <d v="2026-07-16T00:00:00"/>
    <x v="142"/>
    <m/>
    <m/>
    <m/>
    <m/>
    <m/>
    <m/>
    <m/>
    <m/>
  </r>
  <r>
    <x v="160"/>
    <x v="120"/>
    <s v="Initiating coverage"/>
    <d v="2026-07-16T00:00:00"/>
    <x v="143"/>
    <n v="1530"/>
    <m/>
    <m/>
    <m/>
    <m/>
    <m/>
    <m/>
    <m/>
  </r>
  <r>
    <x v="161"/>
    <x v="13"/>
    <s v="Fundamental "/>
    <d v="2026-07-16T00:00:00"/>
    <x v="144"/>
    <n v="250"/>
    <m/>
    <m/>
    <m/>
    <m/>
    <m/>
    <m/>
    <m/>
  </r>
  <r>
    <x v="162"/>
    <x v="80"/>
    <s v="Velocity Idea"/>
    <d v="2026-07-16T00:00:00"/>
    <x v="90"/>
    <n v="1329"/>
    <n v="1035"/>
    <m/>
    <m/>
    <m/>
    <m/>
    <m/>
    <m/>
  </r>
  <r>
    <x v="163"/>
    <x v="121"/>
    <m/>
    <d v="2026-07-17T00:00:00"/>
    <x v="145"/>
    <n v="420"/>
    <m/>
    <m/>
    <m/>
    <m/>
    <m/>
    <m/>
    <m/>
  </r>
  <r>
    <x v="164"/>
    <x v="122"/>
    <m/>
    <d v="2026-07-17T00:00:00"/>
    <x v="32"/>
    <n v="1900"/>
    <m/>
    <m/>
    <m/>
    <m/>
    <m/>
    <m/>
    <m/>
  </r>
  <r>
    <x v="165"/>
    <x v="123"/>
    <m/>
    <d v="2026-07-17T00:00:00"/>
    <x v="146"/>
    <n v="2620"/>
    <m/>
    <m/>
    <m/>
    <m/>
    <m/>
    <m/>
    <m/>
  </r>
  <r>
    <x v="166"/>
    <x v="124"/>
    <m/>
    <d v="2026-07-17T00:00:00"/>
    <x v="43"/>
    <m/>
    <m/>
    <m/>
    <m/>
    <m/>
    <m/>
    <m/>
    <m/>
  </r>
  <r>
    <x v="167"/>
    <x v="125"/>
    <m/>
    <d v="2026-07-17T00:00:00"/>
    <x v="43"/>
    <m/>
    <m/>
    <m/>
    <m/>
    <m/>
    <m/>
    <m/>
    <m/>
  </r>
  <r>
    <x v="168"/>
    <x v="126"/>
    <m/>
    <d v="2026-07-17T00:00:00"/>
    <x v="147"/>
    <n v="780"/>
    <n v="695"/>
    <m/>
    <m/>
    <m/>
    <m/>
    <m/>
    <m/>
  </r>
  <r>
    <x v="169"/>
    <x v="99"/>
    <s v="Conviction Delivery Idea"/>
    <d v="2026-07-20T00:00:00"/>
    <x v="148"/>
    <n v="475"/>
    <n v="415"/>
    <m/>
    <m/>
    <m/>
    <m/>
    <m/>
    <m/>
  </r>
  <r>
    <x v="170"/>
    <x v="110"/>
    <m/>
    <d v="2026-07-20T00:00:00"/>
    <x v="109"/>
    <m/>
    <m/>
    <m/>
    <m/>
    <m/>
    <m/>
    <m/>
    <m/>
  </r>
  <r>
    <x v="171"/>
    <x v="127"/>
    <m/>
    <d v="2026-07-20T00:00:00"/>
    <x v="149"/>
    <m/>
    <m/>
    <m/>
    <m/>
    <m/>
    <m/>
    <m/>
    <m/>
  </r>
  <r>
    <x v="172"/>
    <x v="128"/>
    <m/>
    <d v="2026-07-20T00:00:00"/>
    <x v="150"/>
    <n v="1750"/>
    <m/>
    <m/>
    <m/>
    <m/>
    <m/>
    <m/>
    <m/>
  </r>
  <r>
    <x v="173"/>
    <x v="129"/>
    <m/>
    <d v="2026-07-20T00:00:00"/>
    <x v="151"/>
    <n v="1470"/>
    <m/>
    <m/>
    <m/>
    <m/>
    <m/>
    <m/>
    <m/>
  </r>
  <r>
    <x v="174"/>
    <x v="130"/>
    <m/>
    <d v="2026-07-20T00:00:00"/>
    <x v="101"/>
    <n v="1586"/>
    <m/>
    <m/>
    <m/>
    <m/>
    <m/>
    <m/>
    <m/>
  </r>
  <r>
    <x v="175"/>
    <x v="131"/>
    <s v="Conviction Delivery Idea"/>
    <d v="2026-07-20T00:00:00"/>
    <x v="152"/>
    <n v="3684"/>
    <n v="3240"/>
    <m/>
    <m/>
    <m/>
    <m/>
    <m/>
    <m/>
  </r>
  <r>
    <x v="176"/>
    <x v="132"/>
    <m/>
    <d v="2026-07-21T00:00:00"/>
    <x v="153"/>
    <m/>
    <m/>
    <m/>
    <m/>
    <m/>
    <m/>
    <m/>
    <m/>
  </r>
  <r>
    <x v="177"/>
    <x v="133"/>
    <m/>
    <d v="2026-07-21T00:00:00"/>
    <x v="154"/>
    <n v="2260"/>
    <m/>
    <m/>
    <m/>
    <m/>
    <m/>
    <m/>
    <m/>
  </r>
  <r>
    <x v="178"/>
    <x v="134"/>
    <m/>
    <d v="2026-07-21T00:00:00"/>
    <x v="155"/>
    <n v="2070"/>
    <n v="1800"/>
    <m/>
    <m/>
    <m/>
    <m/>
    <m/>
    <m/>
  </r>
  <r>
    <x v="179"/>
    <x v="135"/>
    <m/>
    <d v="2026-07-21T00:00:00"/>
    <x v="43"/>
    <m/>
    <m/>
    <m/>
    <m/>
    <m/>
    <m/>
    <m/>
    <m/>
  </r>
  <r>
    <x v="180"/>
    <x v="136"/>
    <m/>
    <d v="2026-07-21T00:00:00"/>
    <x v="43"/>
    <m/>
    <m/>
    <m/>
    <m/>
    <m/>
    <m/>
    <m/>
    <m/>
  </r>
  <r>
    <x v="181"/>
    <x v="137"/>
    <m/>
    <d v="2026-07-22T00:00:00"/>
    <x v="156"/>
    <n v="800"/>
    <m/>
    <m/>
    <m/>
    <m/>
    <m/>
    <m/>
    <m/>
  </r>
  <r>
    <x v="182"/>
    <x v="138"/>
    <m/>
    <d v="2026-07-22T00:00:00"/>
    <x v="157"/>
    <n v="12096"/>
    <m/>
    <m/>
    <m/>
    <m/>
    <m/>
    <m/>
    <m/>
  </r>
  <r>
    <x v="183"/>
    <x v="139"/>
    <m/>
    <d v="2026-07-22T00:00:00"/>
    <x v="158"/>
    <n v="4717"/>
    <n v="4450"/>
    <m/>
    <m/>
    <m/>
    <m/>
    <m/>
    <m/>
  </r>
  <r>
    <x v="184"/>
    <x v="4"/>
    <m/>
    <d v="2026-07-22T00:00:00"/>
    <x v="43"/>
    <m/>
    <m/>
    <m/>
    <m/>
    <m/>
    <m/>
    <m/>
    <m/>
  </r>
  <r>
    <x v="185"/>
    <x v="140"/>
    <m/>
    <d v="2026-07-22T00:00:00"/>
    <x v="43"/>
    <m/>
    <m/>
    <m/>
    <m/>
    <m/>
    <m/>
    <m/>
    <m/>
  </r>
  <r>
    <x v="186"/>
    <x v="141"/>
    <m/>
    <d v="2026-07-22T00:00:00"/>
    <x v="159"/>
    <n v="92.4"/>
    <n v="95.7"/>
    <m/>
    <m/>
    <m/>
    <m/>
    <m/>
    <m/>
  </r>
  <r>
    <x v="187"/>
    <x v="142"/>
    <m/>
    <d v="2026-07-23T00:00:00"/>
    <x v="43"/>
    <n v="373"/>
    <m/>
    <m/>
    <m/>
    <m/>
    <m/>
    <m/>
    <m/>
  </r>
  <r>
    <x v="188"/>
    <x v="143"/>
    <s v="Technical conviction"/>
    <d v="2026-07-23T00:00:00"/>
    <x v="160"/>
    <n v="1600"/>
    <n v="1450"/>
    <m/>
    <m/>
    <m/>
    <m/>
    <m/>
    <m/>
  </r>
  <r>
    <x v="189"/>
    <x v="99"/>
    <m/>
    <d v="2026-07-23T00:00:00"/>
    <x v="161"/>
    <m/>
    <m/>
    <m/>
    <m/>
    <m/>
    <m/>
    <m/>
    <m/>
  </r>
  <r>
    <x v="190"/>
    <x v="144"/>
    <s v="Fundamental actionable idea"/>
    <d v="2026-07-23T00:00:00"/>
    <x v="162"/>
    <m/>
    <m/>
    <m/>
    <m/>
    <m/>
    <m/>
    <m/>
    <m/>
  </r>
  <r>
    <x v="191"/>
    <x v="145"/>
    <s v="Fundamental actionable idea"/>
    <d v="2026-07-23T00:00:00"/>
    <x v="163"/>
    <n v="1380"/>
    <m/>
    <m/>
    <m/>
    <m/>
    <m/>
    <m/>
    <m/>
  </r>
  <r>
    <x v="192"/>
    <x v="146"/>
    <m/>
    <d v="2026-07-24T00:00:00"/>
    <x v="164"/>
    <m/>
    <m/>
    <m/>
    <m/>
    <m/>
    <m/>
    <m/>
    <m/>
  </r>
  <r>
    <x v="193"/>
    <x v="147"/>
    <m/>
    <d v="2026-07-24T00:00:00"/>
    <x v="165"/>
    <m/>
    <m/>
    <m/>
    <m/>
    <m/>
    <m/>
    <m/>
    <m/>
  </r>
  <r>
    <x v="194"/>
    <x v="148"/>
    <m/>
    <d v="2026-07-24T00:00:00"/>
    <x v="166"/>
    <n v="3404"/>
    <n v="3145"/>
    <m/>
    <m/>
    <m/>
    <m/>
    <m/>
    <m/>
  </r>
  <r>
    <x v="195"/>
    <x v="80"/>
    <m/>
    <d v="2026-07-24T00:00:00"/>
    <x v="90"/>
    <n v="1329"/>
    <m/>
    <m/>
    <m/>
    <m/>
    <m/>
    <m/>
    <m/>
  </r>
  <r>
    <x v="196"/>
    <x v="137"/>
    <m/>
    <d v="2026-07-24T00:00:00"/>
    <x v="167"/>
    <n v="678.5"/>
    <n v="664"/>
    <m/>
    <m/>
    <m/>
    <m/>
    <m/>
    <m/>
  </r>
  <r>
    <x v="197"/>
    <x v="149"/>
    <m/>
    <d v="2026-07-24T00:00:00"/>
    <x v="168"/>
    <n v="1872"/>
    <n v="1833"/>
    <m/>
    <m/>
    <m/>
    <m/>
    <m/>
    <m/>
  </r>
  <r>
    <x v="198"/>
    <x v="86"/>
    <m/>
    <d v="2026-07-24T00:00:00"/>
    <x v="43"/>
    <m/>
    <m/>
    <m/>
    <m/>
    <m/>
    <m/>
    <m/>
    <m/>
  </r>
  <r>
    <x v="199"/>
    <x v="150"/>
    <m/>
    <d v="2026-07-27T00:00:00"/>
    <x v="169"/>
    <n v="2590"/>
    <n v="2360"/>
    <m/>
    <m/>
    <m/>
    <m/>
    <m/>
    <m/>
  </r>
  <r>
    <x v="200"/>
    <x v="132"/>
    <s v="Technical Radar"/>
    <d v="2026-07-27T00:00:00"/>
    <x v="170"/>
    <m/>
    <m/>
    <m/>
    <m/>
    <m/>
    <m/>
    <m/>
    <m/>
  </r>
  <r>
    <x v="201"/>
    <x v="151"/>
    <m/>
    <d v="2026-07-27T00:00:00"/>
    <x v="171"/>
    <m/>
    <m/>
    <m/>
    <m/>
    <m/>
    <m/>
    <m/>
    <m/>
  </r>
  <r>
    <x v="202"/>
    <x v="63"/>
    <m/>
    <d v="2026-07-27T00:00:00"/>
    <x v="172"/>
    <n v="1980"/>
    <m/>
    <m/>
    <m/>
    <m/>
    <m/>
    <m/>
    <m/>
  </r>
  <r>
    <x v="203"/>
    <x v="80"/>
    <m/>
    <d v="2026-07-27T00:00:00"/>
    <x v="90"/>
    <n v="1329"/>
    <n v="1035"/>
    <m/>
    <m/>
    <m/>
    <m/>
    <m/>
    <m/>
  </r>
  <r>
    <x v="204"/>
    <x v="75"/>
    <m/>
    <d v="2026-07-28T00:00:00"/>
    <x v="43"/>
    <m/>
    <m/>
    <m/>
    <m/>
    <m/>
    <m/>
    <m/>
    <m/>
  </r>
  <r>
    <x v="205"/>
    <x v="152"/>
    <s v="Conviction Delivery Idea"/>
    <d v="2026-07-28T00:00:00"/>
    <x v="173"/>
    <n v="615"/>
    <n v="555"/>
    <m/>
    <m/>
    <m/>
    <m/>
    <m/>
    <m/>
  </r>
  <r>
    <x v="206"/>
    <x v="148"/>
    <s v="Consolidation Breakout"/>
    <d v="2026-07-28T00:00:00"/>
    <x v="43"/>
    <m/>
    <m/>
    <m/>
    <m/>
    <m/>
    <m/>
    <m/>
    <m/>
  </r>
  <r>
    <x v="207"/>
    <x v="146"/>
    <m/>
    <d v="2026-07-28T00:00:00"/>
    <x v="13"/>
    <n v="240"/>
    <m/>
    <m/>
    <m/>
    <m/>
    <m/>
    <m/>
    <m/>
  </r>
  <r>
    <x v="208"/>
    <x v="87"/>
    <m/>
    <d v="2026-07-28T00:00:00"/>
    <x v="43"/>
    <m/>
    <m/>
    <m/>
    <m/>
    <m/>
    <m/>
    <m/>
    <m/>
  </r>
  <r>
    <x v="209"/>
    <x v="153"/>
    <s v="Fundamental actionable idea"/>
    <d v="2026-07-28T00:00:00"/>
    <x v="174"/>
    <n v="1430"/>
    <m/>
    <m/>
    <m/>
    <m/>
    <m/>
    <m/>
    <m/>
  </r>
  <r>
    <x v="210"/>
    <x v="80"/>
    <s v="Velocity Idea"/>
    <d v="2026-07-28T00:00:00"/>
    <x v="90"/>
    <n v="1329"/>
    <n v="1035"/>
    <m/>
    <m/>
    <m/>
    <m/>
    <m/>
    <m/>
  </r>
  <r>
    <x v="211"/>
    <x v="154"/>
    <m/>
    <d v="2026-07-28T00:00:00"/>
    <x v="175"/>
    <n v="536"/>
    <n v="521"/>
    <m/>
    <m/>
    <m/>
    <m/>
    <m/>
    <m/>
  </r>
  <r>
    <x v="212"/>
    <x v="88"/>
    <m/>
    <d v="2026-07-28T00:00:00"/>
    <x v="176"/>
    <n v="1262"/>
    <n v="1200"/>
    <m/>
    <m/>
    <m/>
    <m/>
    <m/>
    <m/>
  </r>
  <r>
    <x v="213"/>
    <x v="155"/>
    <m/>
    <m/>
    <x v="43"/>
    <m/>
    <m/>
    <m/>
    <m/>
    <m/>
    <m/>
    <m/>
    <m/>
  </r>
  <r>
    <x v="214"/>
    <x v="155"/>
    <m/>
    <m/>
    <x v="43"/>
    <m/>
    <m/>
    <m/>
    <m/>
    <m/>
    <m/>
    <m/>
    <m/>
  </r>
  <r>
    <x v="215"/>
    <x v="155"/>
    <m/>
    <m/>
    <x v="43"/>
    <m/>
    <m/>
    <m/>
    <m/>
    <m/>
    <m/>
    <m/>
    <m/>
  </r>
  <r>
    <x v="216"/>
    <x v="155"/>
    <m/>
    <m/>
    <x v="43"/>
    <m/>
    <m/>
    <m/>
    <m/>
    <m/>
    <m/>
    <m/>
    <m/>
  </r>
  <r>
    <x v="217"/>
    <x v="155"/>
    <m/>
    <m/>
    <x v="43"/>
    <m/>
    <m/>
    <m/>
    <m/>
    <m/>
    <m/>
    <m/>
    <m/>
  </r>
  <r>
    <x v="218"/>
    <x v="155"/>
    <m/>
    <m/>
    <x v="43"/>
    <m/>
    <m/>
    <m/>
    <m/>
    <m/>
    <m/>
    <m/>
    <m/>
  </r>
  <r>
    <x v="219"/>
    <x v="155"/>
    <m/>
    <m/>
    <x v="43"/>
    <m/>
    <m/>
    <m/>
    <m/>
    <m/>
    <m/>
    <m/>
    <m/>
  </r>
  <r>
    <x v="220"/>
    <x v="155"/>
    <m/>
    <m/>
    <x v="43"/>
    <m/>
    <m/>
    <m/>
    <m/>
    <m/>
    <m/>
    <m/>
    <m/>
  </r>
  <r>
    <x v="221"/>
    <x v="155"/>
    <m/>
    <m/>
    <x v="43"/>
    <m/>
    <m/>
    <m/>
    <m/>
    <m/>
    <m/>
    <m/>
    <m/>
  </r>
  <r>
    <x v="222"/>
    <x v="155"/>
    <m/>
    <m/>
    <x v="43"/>
    <m/>
    <m/>
    <m/>
    <m/>
    <m/>
    <m/>
    <m/>
    <m/>
  </r>
  <r>
    <x v="223"/>
    <x v="155"/>
    <m/>
    <m/>
    <x v="43"/>
    <m/>
    <m/>
    <m/>
    <m/>
    <m/>
    <m/>
    <m/>
    <m/>
  </r>
  <r>
    <x v="224"/>
    <x v="155"/>
    <m/>
    <m/>
    <x v="43"/>
    <m/>
    <m/>
    <m/>
    <m/>
    <m/>
    <m/>
    <m/>
    <m/>
  </r>
  <r>
    <x v="225"/>
    <x v="155"/>
    <m/>
    <m/>
    <x v="43"/>
    <m/>
    <m/>
    <m/>
    <m/>
    <m/>
    <m/>
    <m/>
    <m/>
  </r>
  <r>
    <x v="226"/>
    <x v="155"/>
    <m/>
    <m/>
    <x v="43"/>
    <m/>
    <m/>
    <m/>
    <m/>
    <m/>
    <m/>
    <m/>
    <m/>
  </r>
  <r>
    <x v="227"/>
    <x v="155"/>
    <m/>
    <m/>
    <x v="43"/>
    <m/>
    <m/>
    <m/>
    <m/>
    <m/>
    <m/>
    <m/>
    <m/>
  </r>
  <r>
    <x v="228"/>
    <x v="155"/>
    <m/>
    <m/>
    <x v="43"/>
    <m/>
    <m/>
    <m/>
    <m/>
    <m/>
    <m/>
    <m/>
    <m/>
  </r>
  <r>
    <x v="229"/>
    <x v="155"/>
    <m/>
    <m/>
    <x v="43"/>
    <m/>
    <m/>
    <m/>
    <m/>
    <m/>
    <m/>
    <m/>
    <m/>
  </r>
  <r>
    <x v="230"/>
    <x v="155"/>
    <m/>
    <m/>
    <x v="43"/>
    <m/>
    <m/>
    <m/>
    <m/>
    <m/>
    <m/>
    <m/>
    <m/>
  </r>
  <r>
    <x v="231"/>
    <x v="155"/>
    <m/>
    <m/>
    <x v="43"/>
    <m/>
    <m/>
    <m/>
    <m/>
    <m/>
    <m/>
    <m/>
    <m/>
  </r>
  <r>
    <x v="232"/>
    <x v="155"/>
    <m/>
    <m/>
    <x v="43"/>
    <m/>
    <m/>
    <m/>
    <m/>
    <m/>
    <m/>
    <m/>
    <m/>
  </r>
  <r>
    <x v="233"/>
    <x v="155"/>
    <m/>
    <m/>
    <x v="43"/>
    <m/>
    <m/>
    <m/>
    <m/>
    <m/>
    <m/>
    <m/>
    <m/>
  </r>
  <r>
    <x v="234"/>
    <x v="155"/>
    <m/>
    <m/>
    <x v="43"/>
    <m/>
    <m/>
    <m/>
    <m/>
    <m/>
    <m/>
    <m/>
    <m/>
  </r>
  <r>
    <x v="235"/>
    <x v="155"/>
    <m/>
    <m/>
    <x v="43"/>
    <m/>
    <m/>
    <m/>
    <m/>
    <m/>
    <m/>
    <m/>
    <m/>
  </r>
  <r>
    <x v="236"/>
    <x v="155"/>
    <m/>
    <m/>
    <x v="43"/>
    <m/>
    <m/>
    <m/>
    <m/>
    <m/>
    <m/>
    <m/>
    <m/>
  </r>
  <r>
    <x v="237"/>
    <x v="155"/>
    <m/>
    <m/>
    <x v="43"/>
    <m/>
    <m/>
    <m/>
    <m/>
    <m/>
    <m/>
    <m/>
    <m/>
  </r>
  <r>
    <x v="238"/>
    <x v="155"/>
    <m/>
    <m/>
    <x v="43"/>
    <m/>
    <m/>
    <m/>
    <m/>
    <m/>
    <m/>
    <m/>
    <m/>
  </r>
  <r>
    <x v="239"/>
    <x v="155"/>
    <m/>
    <m/>
    <x v="43"/>
    <m/>
    <m/>
    <m/>
    <m/>
    <m/>
    <m/>
    <m/>
    <m/>
  </r>
  <r>
    <x v="240"/>
    <x v="155"/>
    <m/>
    <m/>
    <x v="43"/>
    <m/>
    <m/>
    <m/>
    <m/>
    <m/>
    <m/>
    <m/>
    <m/>
  </r>
  <r>
    <x v="241"/>
    <x v="155"/>
    <m/>
    <m/>
    <x v="43"/>
    <m/>
    <m/>
    <m/>
    <m/>
    <m/>
    <m/>
    <m/>
    <m/>
  </r>
  <r>
    <x v="242"/>
    <x v="155"/>
    <m/>
    <m/>
    <x v="43"/>
    <m/>
    <m/>
    <m/>
    <m/>
    <m/>
    <m/>
    <m/>
    <m/>
  </r>
  <r>
    <x v="243"/>
    <x v="155"/>
    <m/>
    <m/>
    <x v="43"/>
    <m/>
    <m/>
    <m/>
    <m/>
    <m/>
    <m/>
    <m/>
    <m/>
  </r>
  <r>
    <x v="244"/>
    <x v="155"/>
    <m/>
    <m/>
    <x v="43"/>
    <m/>
    <m/>
    <m/>
    <m/>
    <m/>
    <m/>
    <m/>
    <m/>
  </r>
  <r>
    <x v="245"/>
    <x v="155"/>
    <m/>
    <m/>
    <x v="43"/>
    <m/>
    <m/>
    <m/>
    <m/>
    <m/>
    <m/>
    <m/>
    <m/>
  </r>
  <r>
    <x v="246"/>
    <x v="155"/>
    <m/>
    <m/>
    <x v="43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FB6B00-93B5-4C0A-B408-84CB87C3F18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1" firstDataCol="1"/>
  <pivotFields count="13">
    <pivotField axis="axisRow" showAll="0">
      <items count="2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t="default"/>
      </items>
    </pivotField>
    <pivotField axis="axisRow" dataField="1" showAll="0" sortType="descending">
      <items count="157">
        <item h="1" sd="0" x="91"/>
        <item h="1" sd="0" x="118"/>
        <item h="1" sd="0" x="46"/>
        <item h="1" sd="0" x="77"/>
        <item h="1" sd="0" x="130"/>
        <item h="1" sd="0" x="115"/>
        <item h="1" sd="0" x="14"/>
        <item h="1" sd="0" x="58"/>
        <item h="1" sd="0" x="84"/>
        <item h="1" sd="0" x="1"/>
        <item h="1" sd="0" x="89"/>
        <item h="1" sd="0" x="101"/>
        <item h="1" sd="0" x="55"/>
        <item h="1" sd="0" x="19"/>
        <item h="1" sd="0" x="54"/>
        <item h="1" sd="0" x="97"/>
        <item h="1" sd="0" x="100"/>
        <item h="1" sd="0" x="74"/>
        <item h="1" sd="0" x="20"/>
        <item h="1" sd="0" x="150"/>
        <item h="1" sd="0" x="138"/>
        <item h="1" sd="0" x="87"/>
        <item h="1" sd="0" x="44"/>
        <item h="1" sd="0" x="33"/>
        <item h="1" sd="0" x="49"/>
        <item h="1" sd="0" x="38"/>
        <item h="1" sd="0" x="56"/>
        <item h="1" sd="0" x="103"/>
        <item h="1" sd="0" x="52"/>
        <item h="1" sd="0" x="86"/>
        <item h="1" sd="0" x="64"/>
        <item h="1" sd="0" x="5"/>
        <item h="1" sd="0" x="85"/>
        <item h="1" sd="0" x="4"/>
        <item h="1" sd="0" x="137"/>
        <item h="1" sd="0" x="149"/>
        <item h="1" sd="0" x="6"/>
        <item h="1" sd="0" x="68"/>
        <item h="1" sd="0" x="104"/>
        <item h="1" sd="0" x="40"/>
        <item h="1" sd="0" x="133"/>
        <item h="1" sd="0" x="62"/>
        <item h="1" sd="0" x="18"/>
        <item h="1" sd="0" x="99"/>
        <item h="1" sd="0" x="21"/>
        <item h="1" sd="0" x="119"/>
        <item h="1" sd="0" x="9"/>
        <item h="1" sd="0" x="22"/>
        <item h="1" sd="0" x="71"/>
        <item h="1" sd="0" x="30"/>
        <item h="1" sd="0" x="140"/>
        <item h="1" sd="0" x="69"/>
        <item h="1" sd="0" x="82"/>
        <item h="1" sd="0" x="28"/>
        <item h="1" sd="0" x="95"/>
        <item h="1" sd="0" x="13"/>
        <item h="1" sd="0" x="70"/>
        <item h="1" sd="0" x="139"/>
        <item h="1" sd="0" x="112"/>
        <item h="1" sd="0" x="73"/>
        <item h="1" sd="0" x="26"/>
        <item h="1" sd="0" x="126"/>
        <item h="1" sd="0" x="0"/>
        <item h="1" sd="0" x="128"/>
        <item h="1" sd="0" x="111"/>
        <item h="1" sd="0" x="10"/>
        <item h="1" sd="0" x="151"/>
        <item h="1" sd="0" x="107"/>
        <item h="1" sd="0" x="34"/>
        <item h="1" sd="0" x="124"/>
        <item h="1" sd="0" x="35"/>
        <item h="1" sd="0" x="117"/>
        <item h="1" sd="0" x="41"/>
        <item h="1" sd="0" x="8"/>
        <item h="1" sd="0" x="129"/>
        <item h="1" sd="0" x="23"/>
        <item h="1" sd="0" x="78"/>
        <item h="1" sd="0" x="109"/>
        <item h="1" sd="0" x="110"/>
        <item h="1" sd="0" x="102"/>
        <item h="1" sd="0" x="60"/>
        <item h="1" sd="0" x="37"/>
        <item h="1" sd="0" x="106"/>
        <item h="1" sd="0" x="63"/>
        <item h="1" sd="0" x="152"/>
        <item h="1" sd="0" x="94"/>
        <item h="1" sd="0" x="134"/>
        <item h="1" sd="0" x="116"/>
        <item h="1" sd="0" x="153"/>
        <item h="1" sd="0" x="148"/>
        <item h="1" sd="0" x="81"/>
        <item h="1" sd="0" x="76"/>
        <item h="1" sd="0" x="80"/>
        <item h="1" sd="0" x="29"/>
        <item h="1" sd="0" x="65"/>
        <item h="1" sd="0" x="146"/>
        <item h="1" sd="0" x="12"/>
        <item h="1" sd="0" x="88"/>
        <item h="1" sd="0" x="136"/>
        <item h="1" sd="0" x="141"/>
        <item h="1" sd="0" x="24"/>
        <item h="1" sd="0" x="143"/>
        <item h="1" sd="0" x="154"/>
        <item h="1" sd="0" x="145"/>
        <item h="1" sd="0" x="31"/>
        <item h="1" sd="0" x="92"/>
        <item h="1" sd="0" x="57"/>
        <item h="1" sd="0" x="90"/>
        <item h="1" sd="0" x="132"/>
        <item h="1" sd="0" x="39"/>
        <item h="1" sd="0" x="25"/>
        <item h="1" sd="0" x="48"/>
        <item h="1" sd="0" x="123"/>
        <item h="1" sd="0" x="96"/>
        <item h="1" sd="0" x="17"/>
        <item h="1" sd="0" x="47"/>
        <item h="1" sd="0" x="27"/>
        <item sd="0" x="53"/>
        <item h="1" sd="0" x="105"/>
        <item h="1" sd="0" x="32"/>
        <item h="1" sd="0" x="142"/>
        <item h="1" sd="0" x="2"/>
        <item h="1" sd="0" x="3"/>
        <item h="1" sd="0" x="114"/>
        <item h="1" sd="0" x="131"/>
        <item h="1" sd="0" x="51"/>
        <item h="1" sd="0" x="72"/>
        <item h="1" sd="0" x="144"/>
        <item h="1" sd="0" x="125"/>
        <item h="1" sd="0" x="36"/>
        <item h="1" sd="0" x="79"/>
        <item h="1" sd="0" x="50"/>
        <item h="1" sd="0" x="66"/>
        <item h="1" sd="0" x="121"/>
        <item h="1" sd="0" x="108"/>
        <item h="1" sd="0" x="61"/>
        <item h="1" sd="0" x="43"/>
        <item h="1" sd="0" x="122"/>
        <item h="1" sd="0" x="11"/>
        <item h="1" sd="0" x="127"/>
        <item h="1" sd="0" x="15"/>
        <item h="1" sd="0" x="93"/>
        <item h="1" sd="0" x="83"/>
        <item h="1" sd="0" x="120"/>
        <item h="1" sd="0" x="135"/>
        <item h="1" sd="0" x="98"/>
        <item h="1" sd="0" x="16"/>
        <item h="1" sd="0" x="67"/>
        <item h="1" sd="0" x="147"/>
        <item h="1" sd="0" x="7"/>
        <item h="1" sd="0" x="59"/>
        <item h="1" sd="0" x="75"/>
        <item h="1" sd="0" x="113"/>
        <item h="1" sd="0" x="42"/>
        <item h="1" sd="0" x="45"/>
        <item h="1" sd="0" x="155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178">
        <item sd="0" x="54"/>
        <item sd="0" x="113"/>
        <item sd="0" x="171"/>
        <item sd="0" x="34"/>
        <item sd="0" x="159"/>
        <item sd="0" x="165"/>
        <item sd="0" x="36"/>
        <item sd="0" x="51"/>
        <item sd="0" x="136"/>
        <item sd="0" x="23"/>
        <item sd="0" x="13"/>
        <item sd="0" x="164"/>
        <item sd="0" x="80"/>
        <item sd="0" x="149"/>
        <item sd="0" x="44"/>
        <item sd="0" x="144"/>
        <item sd="0" x="50"/>
        <item sd="0" x="107"/>
        <item sd="0" x="66"/>
        <item sd="0" x="24"/>
        <item sd="0" x="38"/>
        <item sd="0" x="115"/>
        <item sd="0" x="22"/>
        <item sd="0" x="133"/>
        <item sd="0" x="109"/>
        <item sd="0" x="120"/>
        <item sd="0" x="130"/>
        <item sd="0" x="124"/>
        <item sd="0" x="78"/>
        <item sd="0" x="145"/>
        <item sd="0" x="33"/>
        <item sd="0" x="110"/>
        <item sd="0" x="59"/>
        <item sd="0" x="48"/>
        <item sd="0" x="67"/>
        <item sd="0" x="87"/>
        <item sd="0" x="19"/>
        <item sd="0" x="83"/>
        <item sd="0" x="121"/>
        <item sd="0" x="64"/>
        <item sd="0" x="52"/>
        <item sd="0" x="56"/>
        <item sd="0" x="122"/>
        <item sd="0" x="12"/>
        <item sd="0" x="148"/>
        <item sd="0" x="6"/>
        <item sd="0" x="161"/>
        <item sd="0" x="137"/>
        <item sd="0" x="74"/>
        <item sd="0" x="71"/>
        <item sd="0" x="99"/>
        <item sd="0" x="175"/>
        <item sd="0" x="17"/>
        <item sd="0" x="108"/>
        <item sd="0" x="173"/>
        <item sd="0" x="89"/>
        <item sd="0" x="156"/>
        <item sd="0" x="167"/>
        <item sd="0" x="147"/>
        <item sd="0" x="162"/>
        <item sd="0" x="1"/>
        <item sd="0" x="132"/>
        <item sd="0" x="15"/>
        <item sd="0" x="94"/>
        <item sd="0" x="76"/>
        <item sd="0" x="16"/>
        <item sd="0" x="93"/>
        <item sd="0" x="118"/>
        <item sd="0" x="103"/>
        <item sd="0" x="131"/>
        <item sd="0" x="9"/>
        <item sd="0" x="57"/>
        <item sd="0" x="98"/>
        <item sd="0" x="3"/>
        <item sd="0" x="102"/>
        <item sd="0" x="82"/>
        <item sd="0" x="55"/>
        <item sd="0" x="104"/>
        <item sd="0" x="27"/>
        <item sd="0" x="91"/>
        <item sd="0" x="18"/>
        <item sd="0" x="46"/>
        <item sd="0" x="20"/>
        <item sd="0" x="117"/>
        <item sd="0" x="79"/>
        <item sd="0" x="90"/>
        <item sd="0" x="163"/>
        <item sd="0" x="174"/>
        <item sd="0" x="123"/>
        <item sd="0" x="143"/>
        <item sd="0" x="8"/>
        <item sd="0" x="176"/>
        <item sd="0" x="135"/>
        <item sd="0" x="88"/>
        <item sd="0" x="151"/>
        <item sd="0" x="170"/>
        <item sd="0" x="72"/>
        <item sd="0" x="73"/>
        <item sd="0" x="153"/>
        <item sd="0" x="105"/>
        <item sd="0" x="84"/>
        <item sd="0" x="96"/>
        <item sd="0" x="101"/>
        <item sd="0" x="68"/>
        <item sd="0" x="69"/>
        <item sd="0" x="129"/>
        <item sd="0" x="25"/>
        <item sd="0" x="150"/>
        <item sd="0" x="61"/>
        <item sd="0" x="85"/>
        <item sd="0" x="5"/>
        <item sd="0" x="47"/>
        <item sd="0" x="160"/>
        <item sd="0" x="97"/>
        <item sd="0" x="26"/>
        <item sd="0" x="126"/>
        <item sd="0" x="32"/>
        <item sd="0" x="116"/>
        <item sd="0" x="49"/>
        <item sd="0" x="11"/>
        <item sd="0" x="172"/>
        <item sd="0" x="138"/>
        <item sd="0" x="100"/>
        <item sd="0" x="14"/>
        <item sd="0" x="119"/>
        <item sd="0" x="139"/>
        <item sd="0" x="140"/>
        <item sd="0" x="168"/>
        <item sd="0" x="41"/>
        <item sd="0" x="154"/>
        <item sd="0" x="106"/>
        <item sd="0" x="65"/>
        <item sd="0" x="155"/>
        <item sd="0" x="45"/>
        <item sd="0" x="127"/>
        <item sd="0" x="63"/>
        <item sd="0" x="39"/>
        <item sd="0" x="2"/>
        <item sd="0" x="70"/>
        <item sd="0" x="81"/>
        <item sd="0" x="146"/>
        <item sd="0" x="21"/>
        <item sd="0" x="53"/>
        <item sd="0" x="112"/>
        <item sd="0" x="31"/>
        <item sd="0" x="169"/>
        <item sd="0" x="92"/>
        <item sd="0" x="37"/>
        <item sd="0" x="30"/>
        <item sd="0" x="62"/>
        <item sd="0" x="29"/>
        <item sd="0" x="7"/>
        <item sd="0" x="28"/>
        <item sd="0" x="40"/>
        <item sd="0" x="134"/>
        <item sd="0" x="114"/>
        <item sd="0" x="166"/>
        <item sd="0" x="10"/>
        <item sd="0" x="152"/>
        <item sd="0" x="128"/>
        <item sd="0" x="0"/>
        <item sd="0" x="58"/>
        <item sd="0" x="77"/>
        <item sd="0" x="142"/>
        <item sd="0" x="111"/>
        <item sd="0" x="158"/>
        <item sd="0" x="95"/>
        <item sd="0" x="35"/>
        <item sd="0" x="4"/>
        <item sd="0" x="141"/>
        <item sd="0" x="42"/>
        <item sd="0" x="60"/>
        <item sd="0" x="157"/>
        <item sd="0" x="75"/>
        <item sd="0" x="125"/>
        <item sd="0" x="86"/>
        <item sd="0" x="43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2">
    <i>
      <x v="117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63B9DCF-DB71-4E52-9ADC-9CCE20A5D4FD}" name="Table5" displayName="Table5" ref="A3:M4" totalsRowShown="0">
  <autoFilter ref="A3:M4" xr:uid="{463B9DCF-DB71-4E52-9ADC-9CCE20A5D4FD}"/>
  <tableColumns count="13">
    <tableColumn id="1" xr3:uid="{0BBDE297-6A4A-46DC-AEDA-7D0AE7BD8281}" name="S No."/>
    <tableColumn id="2" xr3:uid="{567A195B-BA79-4FD7-9601-DA00902F59B9}" name="STOCK NAME"/>
    <tableColumn id="3" xr3:uid="{0F5490D4-136C-418D-AF36-E5F4FFF78D59}" name="Idea Type"/>
    <tableColumn id="4" xr3:uid="{BABEA534-5C9C-4935-935B-6C3F5566B5BF}" name="Day when told" dataDxfId="3"/>
    <tableColumn id="5" xr3:uid="{691207CF-675C-42BA-9A2B-063441DF01DE}" name="Current price"/>
    <tableColumn id="6" xr3:uid="{2C69DC99-0EF3-440A-B354-CEBC9006F850}" name="Target price"/>
    <tableColumn id="7" xr3:uid="{642BFE52-CAEC-40D8-B209-13A7074E79FC}" name="Stop loss"/>
    <tableColumn id="8" xr3:uid="{A6F3930D-B29F-4FDA-956F-AEED10AE5566}" name="Today's closing price"/>
    <tableColumn id="9" xr3:uid="{D1342865-C73F-4E59-8B96-49385E1F7063}" name="Excepted Return"/>
    <tableColumn id="10" xr3:uid="{7E974035-FFB8-47B6-A579-D6976A9C3203}" name="Result date"/>
    <tableColumn id="11" xr3:uid="{E8D38A8D-07CF-4104-B4D5-2292C801EECD}" name="Result price"/>
    <tableColumn id="12" xr3:uid="{2AFB6733-B86C-4041-AA73-724ABED46E19}" name="Profit / loss"/>
    <tableColumn id="13" xr3:uid="{21584409-99CB-4BB2-89BE-84D9A9EE28AD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90FCD6F-2359-46E9-AAA5-CB2ADA057134}" name="Table6" displayName="Table6" ref="A3:M4" totalsRowShown="0">
  <autoFilter ref="A3:M4" xr:uid="{390FCD6F-2359-46E9-AAA5-CB2ADA057134}"/>
  <tableColumns count="13">
    <tableColumn id="1" xr3:uid="{065F2E3C-1BA3-4173-A247-890B3CC37257}" name="S No."/>
    <tableColumn id="2" xr3:uid="{52AEA7E3-01DE-477B-AE7F-1FFEADF16590}" name="STOCK NAME"/>
    <tableColumn id="3" xr3:uid="{7B6C07CB-DFFB-4AD0-9767-34B39D795F79}" name="Idea Type"/>
    <tableColumn id="4" xr3:uid="{6276DDF8-026C-4730-ADDC-4DA2430FF452}" name="Day when told" dataDxfId="2"/>
    <tableColumn id="5" xr3:uid="{5C9AE37E-9000-4014-AF5A-196796FE5251}" name="Current price"/>
    <tableColumn id="6" xr3:uid="{28A5772D-C620-4DFC-902E-224037000235}" name="Target price"/>
    <tableColumn id="7" xr3:uid="{5BDDEE73-4AEA-4932-9634-E445527D3230}" name="Stop loss"/>
    <tableColumn id="8" xr3:uid="{1EBD6075-97C5-4BE6-8BBB-3239A602343D}" name="Today's closing price"/>
    <tableColumn id="9" xr3:uid="{7B80CC82-8708-47F8-A4FA-00EAE8767520}" name="Excepted Return"/>
    <tableColumn id="10" xr3:uid="{A0759BB3-0214-4027-8256-B964A0AFDC6D}" name="Result date"/>
    <tableColumn id="11" xr3:uid="{6498DC28-7821-4D10-A8AB-B1E24614C67F}" name="Result price"/>
    <tableColumn id="12" xr3:uid="{7AE1141B-41DF-4214-9B41-1DDF6BE4B25D}" name="Profit / loss"/>
    <tableColumn id="13" xr3:uid="{3BD29281-3FD9-4F20-8B19-540F55DCDE73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78217E-8ACB-44CE-BC7E-8CB9E2089038}" name="Table7" displayName="Table7" ref="A3:M6" totalsRowShown="0">
  <autoFilter ref="A3:M6" xr:uid="{E578217E-8ACB-44CE-BC7E-8CB9E2089038}"/>
  <tableColumns count="13">
    <tableColumn id="1" xr3:uid="{6F787FA2-3F4D-47E7-8EDB-85477E795B87}" name="S No."/>
    <tableColumn id="2" xr3:uid="{48B1CFEF-4907-4D01-B912-ACD9D4837D0E}" name="STOCK NAME"/>
    <tableColumn id="3" xr3:uid="{876A3CC0-3A1B-4633-AD7A-419B17B4E1F6}" name="Idea Type"/>
    <tableColumn id="4" xr3:uid="{90C079A3-38FD-45C3-A163-FDCBE6E9E2AC}" name="Day when told" dataDxfId="1"/>
    <tableColumn id="5" xr3:uid="{6972F920-5B88-4439-A686-A7AE75E46A81}" name="Current price"/>
    <tableColumn id="6" xr3:uid="{B03983C4-2AB4-4519-9711-3533C7A75A4E}" name="Target price"/>
    <tableColumn id="7" xr3:uid="{44716317-7155-4F95-8034-22CAC6288976}" name="Stop loss"/>
    <tableColumn id="8" xr3:uid="{03E764F3-35D7-4063-B5F6-F4D68B66FF94}" name="Today's closing price"/>
    <tableColumn id="9" xr3:uid="{4A08A655-DA2F-4EB9-A92C-2DD35E8E9DE4}" name="Excepted Return"/>
    <tableColumn id="10" xr3:uid="{F7A184C5-7827-4CFE-A840-51953956FA48}" name="Result date"/>
    <tableColumn id="11" xr3:uid="{F929CD62-850A-4DE8-892F-A7C70F1B46C3}" name="Result price"/>
    <tableColumn id="12" xr3:uid="{95D5BAE0-104A-49DB-9563-A728F461239C}" name="Profit / loss"/>
    <tableColumn id="13" xr3:uid="{D7774800-158D-4DD2-8AE3-B8212BB64061}" name="Quantit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F70662-5D94-4098-A492-EA5831AB78D3}" name="Table1" displayName="Table1" ref="A3:M7" totalsRowShown="0">
  <autoFilter ref="A3:M7" xr:uid="{6AF70662-5D94-4098-A492-EA5831AB78D3}"/>
  <tableColumns count="13">
    <tableColumn id="1" xr3:uid="{E8020F7F-6D12-4363-ABE7-1F6DFF63400F}" name="S No."/>
    <tableColumn id="2" xr3:uid="{369663A8-D61A-4667-9A7D-67C59F017D6B}" name="STOCK NAME"/>
    <tableColumn id="3" xr3:uid="{8654C9DF-195E-489B-B4F6-8358C4ED4343}" name="Idea Type"/>
    <tableColumn id="4" xr3:uid="{9A1C96C1-8B83-4121-94D4-DF706CE5B623}" name="Day when told" dataDxfId="0"/>
    <tableColumn id="5" xr3:uid="{35632F7B-C16C-4B3F-8F82-7D48AD1442C2}" name="Current price"/>
    <tableColumn id="6" xr3:uid="{EBDDFE6D-9175-44D1-BD16-123B272E8496}" name="Target price"/>
    <tableColumn id="7" xr3:uid="{61B8EB20-B2E3-42B0-BD34-E43122F36B4B}" name="Stop loss"/>
    <tableColumn id="8" xr3:uid="{5F46C13F-F738-43BD-9F63-CC50845AA76F}" name="Today's closing price"/>
    <tableColumn id="9" xr3:uid="{71F31F74-0FFE-4F56-A554-0DB243BC5E86}" name="Excepted Return"/>
    <tableColumn id="10" xr3:uid="{2D3A5F36-6B06-4757-81E0-850C220C880E}" name="Result date"/>
    <tableColumn id="11" xr3:uid="{985C4258-A2DE-4C1B-963E-FF289769F873}" name="Result price"/>
    <tableColumn id="12" xr3:uid="{D58293A2-2A18-48B0-8DED-E43FCA7FA2F7}" name="Profit / loss"/>
    <tableColumn id="13" xr3:uid="{EE684EC5-23C6-4526-B5CB-3FE46065DB80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03DD-9798-4B42-9B23-5C4CF38A08D7}">
  <dimension ref="A1:M4"/>
  <sheetViews>
    <sheetView workbookViewId="0">
      <selection activeCell="A3" sqref="A3:M4"/>
    </sheetView>
  </sheetViews>
  <sheetFormatPr defaultRowHeight="14.5" x14ac:dyDescent="0.35"/>
  <cols>
    <col min="1" max="1" width="8.81640625" bestFit="1" customWidth="1"/>
    <col min="2" max="2" width="18.08984375" bestFit="1" customWidth="1"/>
    <col min="3" max="3" width="24.45312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7" t="s">
        <v>189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210</v>
      </c>
      <c r="B4" t="s">
        <v>185</v>
      </c>
      <c r="C4" t="s">
        <v>176</v>
      </c>
      <c r="D4" s="1">
        <v>46231</v>
      </c>
      <c r="E4">
        <v>1199</v>
      </c>
      <c r="F4">
        <v>1430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2B7B4-FFB3-455A-8776-C63834F8DE3E}">
  <dimension ref="A1:M4"/>
  <sheetViews>
    <sheetView workbookViewId="0">
      <selection activeCell="A3" sqref="A3:M4"/>
    </sheetView>
  </sheetViews>
  <sheetFormatPr defaultRowHeight="14.5" x14ac:dyDescent="0.35"/>
  <cols>
    <col min="1" max="1" width="8.81640625" bestFit="1" customWidth="1"/>
    <col min="2" max="2" width="13.90625" bestFit="1" customWidth="1"/>
    <col min="3" max="3" width="11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7" t="s">
        <v>190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81</v>
      </c>
      <c r="B4" t="s">
        <v>36</v>
      </c>
      <c r="D4" s="1">
        <v>46196</v>
      </c>
      <c r="E4">
        <v>1288</v>
      </c>
      <c r="F4">
        <v>1490</v>
      </c>
      <c r="I4">
        <v>0.16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2511-F6BB-44B9-970B-3958EBAE1FFA}">
  <dimension ref="A1:M6"/>
  <sheetViews>
    <sheetView workbookViewId="0">
      <selection activeCell="F6" sqref="F6"/>
    </sheetView>
  </sheetViews>
  <sheetFormatPr defaultRowHeight="14.5" x14ac:dyDescent="0.35"/>
  <cols>
    <col min="1" max="1" width="8.81640625" bestFit="1" customWidth="1"/>
    <col min="2" max="2" width="13.90625" bestFit="1" customWidth="1"/>
    <col min="3" max="3" width="11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7" t="s">
        <v>188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104</v>
      </c>
      <c r="B4" t="s">
        <v>100</v>
      </c>
      <c r="D4" s="1">
        <v>46204</v>
      </c>
      <c r="E4">
        <v>840</v>
      </c>
    </row>
    <row r="5" spans="1:13" x14ac:dyDescent="0.35">
      <c r="A5">
        <v>114</v>
      </c>
      <c r="B5" t="s">
        <v>100</v>
      </c>
      <c r="D5" s="1">
        <v>46206</v>
      </c>
      <c r="E5">
        <v>856</v>
      </c>
      <c r="F5">
        <v>950</v>
      </c>
    </row>
    <row r="6" spans="1:13" x14ac:dyDescent="0.35">
      <c r="A6">
        <v>129</v>
      </c>
      <c r="B6" t="s">
        <v>100</v>
      </c>
      <c r="D6" s="1">
        <v>46211</v>
      </c>
      <c r="E6">
        <v>848</v>
      </c>
      <c r="F6">
        <v>1000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93706-6D94-430C-8AC0-020DD7FE6883}">
  <dimension ref="A1:M7"/>
  <sheetViews>
    <sheetView workbookViewId="0">
      <selection activeCell="G7" sqref="G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7" t="s">
        <v>202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64</v>
      </c>
      <c r="B4" t="s">
        <v>84</v>
      </c>
      <c r="D4" s="1">
        <v>46192</v>
      </c>
      <c r="E4">
        <v>3653</v>
      </c>
      <c r="F4">
        <v>4100</v>
      </c>
      <c r="G4">
        <v>3415</v>
      </c>
    </row>
    <row r="5" spans="1:13" x14ac:dyDescent="0.35">
      <c r="A5">
        <v>71</v>
      </c>
      <c r="B5" t="s">
        <v>84</v>
      </c>
      <c r="D5" s="1">
        <v>46195</v>
      </c>
      <c r="E5">
        <v>3653</v>
      </c>
      <c r="F5">
        <v>4100</v>
      </c>
      <c r="G5">
        <v>3415</v>
      </c>
    </row>
    <row r="6" spans="1:13" x14ac:dyDescent="0.35">
      <c r="A6">
        <v>83</v>
      </c>
      <c r="B6" t="s">
        <v>84</v>
      </c>
      <c r="D6" s="1">
        <v>46196</v>
      </c>
      <c r="E6">
        <v>3653</v>
      </c>
      <c r="F6">
        <v>4100</v>
      </c>
      <c r="G6">
        <v>3415</v>
      </c>
    </row>
    <row r="7" spans="1:13" x14ac:dyDescent="0.35">
      <c r="A7">
        <v>91</v>
      </c>
      <c r="B7" t="s">
        <v>84</v>
      </c>
      <c r="D7" s="1">
        <v>46198</v>
      </c>
      <c r="E7">
        <v>3653</v>
      </c>
      <c r="F7">
        <v>4100</v>
      </c>
      <c r="G7">
        <v>3415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2554-9627-467B-AEAF-19EDD8AF4622}">
  <dimension ref="A3:B5"/>
  <sheetViews>
    <sheetView workbookViewId="0">
      <selection activeCell="B4" sqref="B4"/>
    </sheetView>
  </sheetViews>
  <sheetFormatPr defaultRowHeight="14.5" x14ac:dyDescent="0.35"/>
  <cols>
    <col min="1" max="1" width="16.90625" bestFit="1" customWidth="1"/>
    <col min="2" max="2" width="19.26953125" bestFit="1" customWidth="1"/>
  </cols>
  <sheetData>
    <row r="3" spans="1:2" x14ac:dyDescent="0.35">
      <c r="A3" s="5" t="s">
        <v>50</v>
      </c>
      <c r="B3" t="s">
        <v>187</v>
      </c>
    </row>
    <row r="4" spans="1:2" x14ac:dyDescent="0.35">
      <c r="A4" s="6" t="s">
        <v>84</v>
      </c>
      <c r="B4" s="9">
        <v>4</v>
      </c>
    </row>
    <row r="5" spans="1:2" x14ac:dyDescent="0.35">
      <c r="A5" s="6" t="s">
        <v>51</v>
      </c>
      <c r="B5" s="9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Q247"/>
  <sheetViews>
    <sheetView tabSelected="1" workbookViewId="0">
      <pane ySplit="1" topLeftCell="A218" activePane="bottomLeft" state="frozen"/>
      <selection pane="bottomLeft" activeCell="B226" sqref="B226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</row>
    <row r="2" spans="1:17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Q2" s="8" t="s">
        <v>200</v>
      </c>
    </row>
    <row r="3" spans="1:17" x14ac:dyDescent="0.35">
      <c r="A3">
        <v>2</v>
      </c>
      <c r="B3" t="s">
        <v>52</v>
      </c>
      <c r="D3" s="1">
        <v>46174</v>
      </c>
      <c r="E3">
        <v>748</v>
      </c>
      <c r="I3" s="2">
        <f t="shared" ref="I3:I27" si="0">(F3-E3)/E3</f>
        <v>-1</v>
      </c>
      <c r="Q3" s="4" t="s">
        <v>201</v>
      </c>
    </row>
    <row r="4" spans="1:17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</row>
    <row r="5" spans="1:17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</row>
    <row r="6" spans="1:17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</row>
    <row r="7" spans="1:17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</row>
    <row r="8" spans="1:17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</row>
    <row r="9" spans="1:17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 t="shared" si="0"/>
        <v>0.23999948467553878</v>
      </c>
    </row>
    <row r="10" spans="1:17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</row>
    <row r="11" spans="1:17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</row>
    <row r="12" spans="1:17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</row>
    <row r="13" spans="1:17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</row>
    <row r="14" spans="1:17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</row>
    <row r="16" spans="1:17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</row>
    <row r="17" spans="1:1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</row>
    <row r="18" spans="1:11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</row>
    <row r="19" spans="1:1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</row>
    <row r="20" spans="1:11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</row>
    <row r="21" spans="1:11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</row>
    <row r="22" spans="1:1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</row>
    <row r="23" spans="1:1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</row>
    <row r="24" spans="1:1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</row>
    <row r="25" spans="1:1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</row>
    <row r="26" spans="1:11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</row>
    <row r="27" spans="1:1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</row>
    <row r="28" spans="1:1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J28" s="1">
        <v>46184</v>
      </c>
      <c r="K28">
        <v>960</v>
      </c>
    </row>
    <row r="29" spans="1:1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</row>
    <row r="30" spans="1:1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</row>
    <row r="31" spans="1:1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</row>
    <row r="32" spans="1:1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</row>
    <row r="33" spans="1:7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</row>
    <row r="34" spans="1:7" x14ac:dyDescent="0.35">
      <c r="A34">
        <v>33</v>
      </c>
      <c r="B34" t="s">
        <v>14</v>
      </c>
      <c r="D34" s="1">
        <v>46185</v>
      </c>
      <c r="E34">
        <v>2779</v>
      </c>
    </row>
    <row r="35" spans="1:7" x14ac:dyDescent="0.35">
      <c r="A35">
        <v>34</v>
      </c>
      <c r="B35" t="s">
        <v>15</v>
      </c>
      <c r="D35" s="1">
        <v>46185</v>
      </c>
      <c r="E35">
        <v>2306</v>
      </c>
    </row>
    <row r="36" spans="1:7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</row>
    <row r="37" spans="1:7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</row>
    <row r="38" spans="1:7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</row>
    <row r="39" spans="1:7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</row>
    <row r="40" spans="1:7" x14ac:dyDescent="0.35">
      <c r="A40">
        <v>39</v>
      </c>
      <c r="B40" t="s">
        <v>17</v>
      </c>
      <c r="D40" s="1">
        <v>46188</v>
      </c>
      <c r="E40">
        <v>141</v>
      </c>
    </row>
    <row r="41" spans="1:7" x14ac:dyDescent="0.35">
      <c r="A41">
        <v>40</v>
      </c>
      <c r="B41" t="s">
        <v>18</v>
      </c>
      <c r="D41" s="1">
        <v>46188</v>
      </c>
      <c r="E41">
        <v>2743</v>
      </c>
    </row>
    <row r="42" spans="1:7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</row>
    <row r="43" spans="1:7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</row>
    <row r="44" spans="1:7" x14ac:dyDescent="0.35">
      <c r="A44">
        <v>43</v>
      </c>
      <c r="B44" t="s">
        <v>113</v>
      </c>
      <c r="D44" s="1">
        <v>46189</v>
      </c>
      <c r="E44">
        <v>3171</v>
      </c>
    </row>
    <row r="45" spans="1:7" x14ac:dyDescent="0.35">
      <c r="A45">
        <v>44</v>
      </c>
      <c r="B45" t="s">
        <v>76</v>
      </c>
      <c r="D45" s="1">
        <v>46189</v>
      </c>
      <c r="E45">
        <v>1860</v>
      </c>
    </row>
    <row r="46" spans="1:7" x14ac:dyDescent="0.35">
      <c r="A46">
        <v>45</v>
      </c>
      <c r="B46" t="s">
        <v>77</v>
      </c>
      <c r="D46" s="1">
        <v>46189</v>
      </c>
      <c r="E46">
        <v>7625</v>
      </c>
    </row>
    <row r="47" spans="1:7" x14ac:dyDescent="0.35">
      <c r="A47">
        <v>46</v>
      </c>
      <c r="B47" t="s">
        <v>78</v>
      </c>
      <c r="D47" s="1">
        <v>46189</v>
      </c>
      <c r="F47">
        <v>217</v>
      </c>
    </row>
    <row r="48" spans="1:7" x14ac:dyDescent="0.35">
      <c r="A48">
        <v>47</v>
      </c>
      <c r="B48" t="s">
        <v>79</v>
      </c>
      <c r="D48" s="1">
        <v>46189</v>
      </c>
      <c r="F48">
        <v>125</v>
      </c>
    </row>
    <row r="49" spans="1:11" x14ac:dyDescent="0.35">
      <c r="A49">
        <v>48</v>
      </c>
      <c r="B49" t="s">
        <v>21</v>
      </c>
      <c r="D49" s="1">
        <v>46189</v>
      </c>
      <c r="F49">
        <v>1765</v>
      </c>
    </row>
    <row r="50" spans="1:11" x14ac:dyDescent="0.35">
      <c r="A50">
        <v>49</v>
      </c>
      <c r="B50" t="s">
        <v>80</v>
      </c>
      <c r="D50" s="1">
        <v>46189</v>
      </c>
      <c r="E50">
        <v>210</v>
      </c>
      <c r="I50" s="2">
        <v>1.4E-2</v>
      </c>
      <c r="J50" s="1">
        <v>46189</v>
      </c>
      <c r="K50">
        <v>218</v>
      </c>
    </row>
    <row r="51" spans="1:1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</row>
    <row r="52" spans="1:1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</row>
    <row r="53" spans="1:11" x14ac:dyDescent="0.35">
      <c r="A53">
        <v>52</v>
      </c>
      <c r="B53" t="s">
        <v>81</v>
      </c>
      <c r="D53" s="1">
        <v>46190</v>
      </c>
      <c r="E53">
        <v>1079</v>
      </c>
    </row>
    <row r="54" spans="1:1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</row>
    <row r="55" spans="1:11" x14ac:dyDescent="0.35">
      <c r="A55">
        <v>54</v>
      </c>
      <c r="B55" t="s">
        <v>22</v>
      </c>
      <c r="D55" s="1">
        <v>46190</v>
      </c>
      <c r="E55">
        <v>374</v>
      </c>
    </row>
    <row r="56" spans="1:11" x14ac:dyDescent="0.35">
      <c r="A56">
        <v>55</v>
      </c>
      <c r="B56" t="s">
        <v>23</v>
      </c>
      <c r="D56" s="1">
        <v>46190</v>
      </c>
      <c r="E56">
        <v>1520</v>
      </c>
    </row>
    <row r="57" spans="1:1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J57" s="1"/>
    </row>
    <row r="58" spans="1:1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J58" s="1">
        <v>46190</v>
      </c>
      <c r="K58">
        <v>156.6</v>
      </c>
    </row>
    <row r="59" spans="1:1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</row>
    <row r="60" spans="1:1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K60">
        <v>2450</v>
      </c>
    </row>
    <row r="61" spans="1:11" x14ac:dyDescent="0.35">
      <c r="A61">
        <v>60</v>
      </c>
      <c r="B61" t="s">
        <v>25</v>
      </c>
      <c r="D61" s="1">
        <v>46191</v>
      </c>
      <c r="E61">
        <v>59</v>
      </c>
    </row>
    <row r="62" spans="1:11" x14ac:dyDescent="0.35">
      <c r="A62">
        <v>61</v>
      </c>
      <c r="B62" t="s">
        <v>26</v>
      </c>
      <c r="D62" s="1">
        <v>46191</v>
      </c>
      <c r="E62">
        <v>1026</v>
      </c>
    </row>
    <row r="63" spans="1:11" x14ac:dyDescent="0.35">
      <c r="A63">
        <v>62</v>
      </c>
      <c r="B63" t="s">
        <v>82</v>
      </c>
      <c r="D63" s="1">
        <v>46191</v>
      </c>
      <c r="E63">
        <v>420</v>
      </c>
    </row>
    <row r="64" spans="1:1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</row>
    <row r="65" spans="1:1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</row>
    <row r="66" spans="1:1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</row>
    <row r="67" spans="1:1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</row>
    <row r="68" spans="1:11" x14ac:dyDescent="0.35">
      <c r="A68">
        <v>67</v>
      </c>
      <c r="B68" t="s">
        <v>27</v>
      </c>
      <c r="D68" s="1">
        <v>46192</v>
      </c>
      <c r="E68">
        <v>406</v>
      </c>
    </row>
    <row r="69" spans="1:11" x14ac:dyDescent="0.35">
      <c r="A69">
        <v>68</v>
      </c>
      <c r="B69" t="s">
        <v>28</v>
      </c>
      <c r="D69" s="1">
        <v>46192</v>
      </c>
      <c r="E69">
        <v>1446</v>
      </c>
    </row>
    <row r="70" spans="1:1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</row>
    <row r="71" spans="1:11" x14ac:dyDescent="0.35">
      <c r="A71">
        <v>70</v>
      </c>
      <c r="B71" t="s">
        <v>30</v>
      </c>
      <c r="D71" s="1">
        <v>46192</v>
      </c>
      <c r="I71" s="3">
        <v>0.09</v>
      </c>
    </row>
    <row r="72" spans="1:1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</row>
    <row r="73" spans="1:1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3">
        <v>0.2</v>
      </c>
      <c r="J73" s="1">
        <v>46195</v>
      </c>
    </row>
    <row r="74" spans="1:1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3">
        <v>0.05</v>
      </c>
    </row>
    <row r="75" spans="1:11" x14ac:dyDescent="0.35">
      <c r="A75">
        <v>74</v>
      </c>
      <c r="B75" t="s">
        <v>31</v>
      </c>
      <c r="D75" s="1">
        <v>46195</v>
      </c>
      <c r="E75">
        <v>1889</v>
      </c>
    </row>
    <row r="76" spans="1:11" x14ac:dyDescent="0.35">
      <c r="A76">
        <v>75</v>
      </c>
      <c r="B76" t="s">
        <v>32</v>
      </c>
      <c r="D76" s="1">
        <v>46195</v>
      </c>
      <c r="E76">
        <v>264</v>
      </c>
    </row>
    <row r="77" spans="1:11" x14ac:dyDescent="0.35">
      <c r="A77">
        <v>76</v>
      </c>
      <c r="B77" t="s">
        <v>22</v>
      </c>
      <c r="D77" s="1">
        <v>46195</v>
      </c>
      <c r="E77">
        <v>376</v>
      </c>
    </row>
    <row r="78" spans="1:1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</row>
    <row r="79" spans="1:1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J79" s="1">
        <v>46203</v>
      </c>
      <c r="K79">
        <v>1485</v>
      </c>
    </row>
    <row r="80" spans="1:11" x14ac:dyDescent="0.35">
      <c r="A80">
        <v>79</v>
      </c>
      <c r="B80" t="s">
        <v>110</v>
      </c>
      <c r="D80" s="1">
        <v>46196</v>
      </c>
      <c r="E80">
        <v>2103</v>
      </c>
    </row>
    <row r="81" spans="1:13" x14ac:dyDescent="0.35">
      <c r="A81">
        <v>80</v>
      </c>
      <c r="B81" t="s">
        <v>55</v>
      </c>
      <c r="D81" s="1">
        <v>46196</v>
      </c>
      <c r="E81">
        <v>484</v>
      </c>
    </row>
    <row r="82" spans="1:13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3">
        <v>0.16</v>
      </c>
    </row>
    <row r="83" spans="1:13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3">
        <v>0.21</v>
      </c>
      <c r="K83">
        <v>1430</v>
      </c>
    </row>
    <row r="84" spans="1:13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</row>
    <row r="85" spans="1:13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</row>
    <row r="86" spans="1:13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</row>
    <row r="87" spans="1:13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M87">
        <v>12</v>
      </c>
    </row>
    <row r="88" spans="1:13" x14ac:dyDescent="0.35">
      <c r="A88">
        <v>87</v>
      </c>
      <c r="B88" t="s">
        <v>91</v>
      </c>
      <c r="D88" s="1">
        <v>46197</v>
      </c>
      <c r="E88">
        <v>3891</v>
      </c>
    </row>
    <row r="89" spans="1:13" x14ac:dyDescent="0.35">
      <c r="A89">
        <v>88</v>
      </c>
      <c r="B89" t="s">
        <v>92</v>
      </c>
      <c r="D89" s="1">
        <v>46197</v>
      </c>
      <c r="E89">
        <v>346</v>
      </c>
    </row>
    <row r="90" spans="1:13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</row>
    <row r="91" spans="1:13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</row>
    <row r="92" spans="1:13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</row>
    <row r="93" spans="1:13" x14ac:dyDescent="0.35">
      <c r="A93">
        <v>92</v>
      </c>
      <c r="B93" t="s">
        <v>110</v>
      </c>
      <c r="D93" s="1">
        <v>46198</v>
      </c>
      <c r="E93">
        <v>2123</v>
      </c>
    </row>
    <row r="94" spans="1:13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</row>
    <row r="95" spans="1:13" x14ac:dyDescent="0.35">
      <c r="A95">
        <v>94</v>
      </c>
      <c r="B95" t="s">
        <v>94</v>
      </c>
      <c r="D95" s="1">
        <v>46198</v>
      </c>
      <c r="E95">
        <v>413</v>
      </c>
    </row>
    <row r="96" spans="1:13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</row>
    <row r="97" spans="1:7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</row>
    <row r="98" spans="1:7" x14ac:dyDescent="0.35">
      <c r="A98">
        <v>97</v>
      </c>
      <c r="B98" t="s">
        <v>96</v>
      </c>
      <c r="D98" s="1">
        <v>46202</v>
      </c>
      <c r="E98">
        <v>13735</v>
      </c>
    </row>
    <row r="99" spans="1:7" x14ac:dyDescent="0.35">
      <c r="A99">
        <v>98</v>
      </c>
      <c r="B99" t="s">
        <v>97</v>
      </c>
      <c r="D99" s="1">
        <v>46202</v>
      </c>
      <c r="E99">
        <v>391</v>
      </c>
    </row>
    <row r="100" spans="1:7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7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7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7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7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7" x14ac:dyDescent="0.35">
      <c r="A105">
        <v>104</v>
      </c>
      <c r="B105" t="s">
        <v>100</v>
      </c>
      <c r="D105" s="1">
        <v>46204</v>
      </c>
      <c r="E105">
        <v>840</v>
      </c>
    </row>
    <row r="106" spans="1:7" x14ac:dyDescent="0.35">
      <c r="A106">
        <v>105</v>
      </c>
      <c r="B106" t="s">
        <v>101</v>
      </c>
      <c r="D106" s="1">
        <v>46204</v>
      </c>
      <c r="E106">
        <v>802</v>
      </c>
    </row>
    <row r="107" spans="1:7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7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7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7" x14ac:dyDescent="0.35">
      <c r="A110">
        <v>109</v>
      </c>
      <c r="B110" t="s">
        <v>112</v>
      </c>
      <c r="D110" s="1">
        <v>46205</v>
      </c>
      <c r="E110">
        <v>976</v>
      </c>
    </row>
    <row r="111" spans="1:7" x14ac:dyDescent="0.35">
      <c r="A111">
        <v>110</v>
      </c>
      <c r="B111" t="s">
        <v>55</v>
      </c>
      <c r="D111" s="1">
        <v>46205</v>
      </c>
      <c r="E111">
        <v>508</v>
      </c>
    </row>
    <row r="112" spans="1:7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7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7" x14ac:dyDescent="0.35">
      <c r="A114">
        <v>113</v>
      </c>
      <c r="B114" t="s">
        <v>105</v>
      </c>
      <c r="D114" s="1">
        <v>46206</v>
      </c>
      <c r="E114">
        <v>1018</v>
      </c>
    </row>
    <row r="115" spans="1:7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7" x14ac:dyDescent="0.35">
      <c r="A116">
        <v>115</v>
      </c>
      <c r="B116" t="s">
        <v>106</v>
      </c>
      <c r="D116" s="1">
        <v>46206</v>
      </c>
      <c r="E116">
        <v>1027</v>
      </c>
    </row>
    <row r="117" spans="1:7" x14ac:dyDescent="0.35">
      <c r="A117">
        <v>116</v>
      </c>
      <c r="B117" t="s">
        <v>107</v>
      </c>
      <c r="D117" s="1">
        <v>46206</v>
      </c>
      <c r="E117">
        <v>1360</v>
      </c>
    </row>
    <row r="118" spans="1:7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7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7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7" x14ac:dyDescent="0.35">
      <c r="A121">
        <v>120</v>
      </c>
      <c r="B121" t="s">
        <v>42</v>
      </c>
      <c r="D121" s="1">
        <v>46209</v>
      </c>
      <c r="E121">
        <v>310</v>
      </c>
    </row>
    <row r="122" spans="1:7" x14ac:dyDescent="0.35">
      <c r="A122">
        <v>121</v>
      </c>
      <c r="B122" t="s">
        <v>85</v>
      </c>
      <c r="D122" s="1">
        <v>46210</v>
      </c>
      <c r="E122">
        <v>352</v>
      </c>
    </row>
    <row r="123" spans="1:7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7" x14ac:dyDescent="0.35">
      <c r="A124">
        <v>123</v>
      </c>
      <c r="B124" t="s">
        <v>12</v>
      </c>
      <c r="D124" s="1">
        <v>46210</v>
      </c>
      <c r="E124">
        <v>2246</v>
      </c>
    </row>
    <row r="125" spans="1:7" x14ac:dyDescent="0.35">
      <c r="A125">
        <v>124</v>
      </c>
      <c r="B125" t="s">
        <v>43</v>
      </c>
      <c r="D125" s="1">
        <v>46210</v>
      </c>
      <c r="E125">
        <v>78</v>
      </c>
    </row>
    <row r="126" spans="1:7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7" x14ac:dyDescent="0.35">
      <c r="A127">
        <v>126</v>
      </c>
      <c r="B127" s="4" t="s">
        <v>32</v>
      </c>
      <c r="C127" s="4"/>
      <c r="D127" s="1">
        <v>46211</v>
      </c>
      <c r="E127">
        <v>289</v>
      </c>
      <c r="F127">
        <v>310</v>
      </c>
      <c r="G127">
        <v>278</v>
      </c>
    </row>
    <row r="128" spans="1:7" x14ac:dyDescent="0.35">
      <c r="A128">
        <v>127</v>
      </c>
      <c r="B128" t="s">
        <v>9</v>
      </c>
      <c r="D128" s="1">
        <v>46211</v>
      </c>
      <c r="E128">
        <v>1516</v>
      </c>
    </row>
    <row r="129" spans="1:7" x14ac:dyDescent="0.35">
      <c r="A129">
        <v>128</v>
      </c>
      <c r="B129" t="s">
        <v>117</v>
      </c>
      <c r="D129" s="1">
        <v>46211</v>
      </c>
      <c r="E129">
        <v>1110</v>
      </c>
    </row>
    <row r="130" spans="1:7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7" x14ac:dyDescent="0.35">
      <c r="A131">
        <v>130</v>
      </c>
      <c r="B131" t="s">
        <v>118</v>
      </c>
      <c r="D131" s="1">
        <v>46211</v>
      </c>
      <c r="E131">
        <v>1785</v>
      </c>
    </row>
    <row r="132" spans="1:7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</row>
    <row r="133" spans="1:7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7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</row>
    <row r="135" spans="1:7" x14ac:dyDescent="0.35">
      <c r="A135">
        <v>134</v>
      </c>
      <c r="B135" t="s">
        <v>120</v>
      </c>
      <c r="D135" s="1">
        <v>46212</v>
      </c>
      <c r="E135">
        <v>421</v>
      </c>
    </row>
    <row r="136" spans="1:7" x14ac:dyDescent="0.35">
      <c r="A136">
        <v>135</v>
      </c>
      <c r="B136" s="4" t="s">
        <v>121</v>
      </c>
      <c r="C136" s="4" t="s">
        <v>123</v>
      </c>
      <c r="D136" s="1">
        <v>46212</v>
      </c>
      <c r="E136">
        <v>1200</v>
      </c>
      <c r="F136">
        <v>1300</v>
      </c>
      <c r="G136">
        <v>1150</v>
      </c>
    </row>
    <row r="137" spans="1:7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</row>
    <row r="138" spans="1:7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</row>
    <row r="139" spans="1:7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</row>
    <row r="140" spans="1:7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</row>
    <row r="141" spans="1:7" x14ac:dyDescent="0.35">
      <c r="A141">
        <v>140</v>
      </c>
      <c r="B141" t="s">
        <v>128</v>
      </c>
      <c r="D141" s="1">
        <v>46213</v>
      </c>
      <c r="E141">
        <v>1954</v>
      </c>
    </row>
    <row r="142" spans="1:7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</row>
    <row r="143" spans="1:7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</row>
    <row r="144" spans="1:7" x14ac:dyDescent="0.35">
      <c r="A144">
        <v>143</v>
      </c>
      <c r="B144" t="s">
        <v>130</v>
      </c>
      <c r="C144" t="s">
        <v>132</v>
      </c>
      <c r="D144" s="1">
        <v>46216</v>
      </c>
    </row>
    <row r="145" spans="1:7" x14ac:dyDescent="0.35">
      <c r="A145">
        <v>144</v>
      </c>
      <c r="B145" t="s">
        <v>131</v>
      </c>
      <c r="D145" s="1">
        <v>46216</v>
      </c>
    </row>
    <row r="146" spans="1:7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</row>
    <row r="147" spans="1:7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</row>
    <row r="148" spans="1:7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</row>
    <row r="149" spans="1:7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</row>
    <row r="150" spans="1:7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</row>
    <row r="151" spans="1:7" x14ac:dyDescent="0.35">
      <c r="A151">
        <v>150</v>
      </c>
      <c r="B151" t="s">
        <v>138</v>
      </c>
      <c r="D151" s="1">
        <v>46217</v>
      </c>
      <c r="E151">
        <v>308</v>
      </c>
    </row>
    <row r="152" spans="1:7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</row>
    <row r="153" spans="1:7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</row>
    <row r="154" spans="1:7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</row>
    <row r="155" spans="1:7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</row>
    <row r="156" spans="1:7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</row>
    <row r="157" spans="1:7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</row>
    <row r="158" spans="1:7" x14ac:dyDescent="0.35">
      <c r="A158">
        <v>157</v>
      </c>
      <c r="B158" s="4" t="s">
        <v>147</v>
      </c>
      <c r="C158" t="s">
        <v>126</v>
      </c>
      <c r="D158" s="1">
        <v>46218</v>
      </c>
      <c r="E158">
        <v>1840</v>
      </c>
      <c r="F158">
        <v>1790</v>
      </c>
    </row>
    <row r="159" spans="1:7" x14ac:dyDescent="0.35">
      <c r="A159">
        <v>158</v>
      </c>
      <c r="B159" s="4" t="s">
        <v>146</v>
      </c>
      <c r="C159" t="s">
        <v>148</v>
      </c>
      <c r="D159" s="1">
        <v>46219</v>
      </c>
      <c r="E159">
        <v>1860</v>
      </c>
      <c r="F159">
        <v>1980</v>
      </c>
      <c r="G159">
        <v>1800</v>
      </c>
    </row>
    <row r="160" spans="1:7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</row>
    <row r="161" spans="1:7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</row>
    <row r="162" spans="1:7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</row>
    <row r="163" spans="1:7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</row>
    <row r="164" spans="1:7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</row>
    <row r="165" spans="1:7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</row>
    <row r="166" spans="1:7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</row>
    <row r="167" spans="1:7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</row>
    <row r="168" spans="1:7" x14ac:dyDescent="0.35">
      <c r="A168">
        <v>167</v>
      </c>
      <c r="B168" t="s">
        <v>155</v>
      </c>
      <c r="D168" s="1">
        <v>46220</v>
      </c>
    </row>
    <row r="169" spans="1:7" x14ac:dyDescent="0.35">
      <c r="A169">
        <v>168</v>
      </c>
      <c r="B169" t="s">
        <v>156</v>
      </c>
      <c r="D169" s="1">
        <v>46220</v>
      </c>
    </row>
    <row r="170" spans="1:7" x14ac:dyDescent="0.35">
      <c r="A170">
        <v>169</v>
      </c>
      <c r="B170" s="4" t="s">
        <v>157</v>
      </c>
      <c r="D170" s="1">
        <v>46220</v>
      </c>
      <c r="E170">
        <v>725</v>
      </c>
      <c r="F170">
        <v>780</v>
      </c>
      <c r="G170">
        <v>695</v>
      </c>
    </row>
    <row r="171" spans="1:7" x14ac:dyDescent="0.35">
      <c r="A171">
        <v>170</v>
      </c>
      <c r="B171" s="4" t="s">
        <v>120</v>
      </c>
      <c r="C171" t="s">
        <v>123</v>
      </c>
      <c r="D171" s="1">
        <v>46223</v>
      </c>
      <c r="E171">
        <v>435</v>
      </c>
      <c r="F171">
        <v>475</v>
      </c>
      <c r="G171">
        <v>415</v>
      </c>
    </row>
    <row r="172" spans="1:7" x14ac:dyDescent="0.35">
      <c r="A172">
        <v>171</v>
      </c>
      <c r="B172" t="s">
        <v>138</v>
      </c>
      <c r="D172" s="1">
        <v>46223</v>
      </c>
      <c r="E172">
        <v>310</v>
      </c>
    </row>
    <row r="173" spans="1:7" x14ac:dyDescent="0.35">
      <c r="A173">
        <v>172</v>
      </c>
      <c r="B173" t="s">
        <v>158</v>
      </c>
      <c r="D173" s="1">
        <v>46223</v>
      </c>
      <c r="E173">
        <v>204</v>
      </c>
    </row>
    <row r="174" spans="1:7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</row>
    <row r="175" spans="1:7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</row>
    <row r="176" spans="1:7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</row>
    <row r="177" spans="1:7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</row>
    <row r="178" spans="1:7" x14ac:dyDescent="0.35">
      <c r="A178">
        <v>177</v>
      </c>
      <c r="B178" t="s">
        <v>163</v>
      </c>
      <c r="D178" s="1">
        <v>46224</v>
      </c>
      <c r="E178">
        <v>1348</v>
      </c>
    </row>
    <row r="179" spans="1:7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</row>
    <row r="180" spans="1:7" x14ac:dyDescent="0.35">
      <c r="A180">
        <v>179</v>
      </c>
      <c r="B180" s="4" t="s">
        <v>165</v>
      </c>
      <c r="D180" s="1">
        <v>46224</v>
      </c>
      <c r="E180">
        <v>1908</v>
      </c>
      <c r="F180">
        <v>2070</v>
      </c>
      <c r="G180">
        <v>1800</v>
      </c>
    </row>
    <row r="181" spans="1:7" x14ac:dyDescent="0.35">
      <c r="A181">
        <v>180</v>
      </c>
      <c r="B181" t="s">
        <v>166</v>
      </c>
      <c r="D181" s="1">
        <v>46224</v>
      </c>
    </row>
    <row r="182" spans="1:7" x14ac:dyDescent="0.35">
      <c r="A182">
        <v>181</v>
      </c>
      <c r="B182" t="s">
        <v>167</v>
      </c>
      <c r="D182" s="1">
        <v>46224</v>
      </c>
    </row>
    <row r="183" spans="1:7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</row>
    <row r="184" spans="1:7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</row>
    <row r="185" spans="1:7" x14ac:dyDescent="0.35">
      <c r="A185">
        <v>184</v>
      </c>
      <c r="B185" s="4" t="s">
        <v>170</v>
      </c>
      <c r="D185" s="1">
        <v>46225</v>
      </c>
      <c r="E185">
        <v>4582</v>
      </c>
      <c r="F185">
        <v>4717</v>
      </c>
      <c r="G185">
        <v>4450</v>
      </c>
    </row>
    <row r="186" spans="1:7" x14ac:dyDescent="0.35">
      <c r="A186">
        <v>185</v>
      </c>
      <c r="B186" t="s">
        <v>54</v>
      </c>
      <c r="D186" s="1">
        <v>46225</v>
      </c>
    </row>
    <row r="187" spans="1:7" x14ac:dyDescent="0.35">
      <c r="A187">
        <v>186</v>
      </c>
      <c r="B187" t="s">
        <v>171</v>
      </c>
      <c r="D187" s="1">
        <v>46225</v>
      </c>
    </row>
    <row r="188" spans="1:7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</row>
    <row r="189" spans="1:7" x14ac:dyDescent="0.35">
      <c r="A189">
        <v>188</v>
      </c>
      <c r="B189" t="s">
        <v>173</v>
      </c>
      <c r="D189" s="1">
        <v>46226</v>
      </c>
      <c r="F189">
        <v>373</v>
      </c>
    </row>
    <row r="190" spans="1:7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</row>
    <row r="191" spans="1:7" x14ac:dyDescent="0.35">
      <c r="A191">
        <v>190</v>
      </c>
      <c r="B191" t="s">
        <v>120</v>
      </c>
      <c r="D191" s="1">
        <v>46226</v>
      </c>
      <c r="E191">
        <v>448</v>
      </c>
    </row>
    <row r="192" spans="1:7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</row>
    <row r="193" spans="1:7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</row>
    <row r="194" spans="1:7" x14ac:dyDescent="0.35">
      <c r="A194">
        <v>193</v>
      </c>
      <c r="B194" t="s">
        <v>178</v>
      </c>
      <c r="D194" s="1">
        <v>46227</v>
      </c>
      <c r="E194">
        <v>188</v>
      </c>
    </row>
    <row r="195" spans="1:7" x14ac:dyDescent="0.35">
      <c r="A195">
        <v>194</v>
      </c>
      <c r="B195" t="s">
        <v>179</v>
      </c>
      <c r="D195" s="1">
        <v>46227</v>
      </c>
      <c r="E195">
        <v>109</v>
      </c>
    </row>
    <row r="196" spans="1:7" x14ac:dyDescent="0.35">
      <c r="A196">
        <v>195</v>
      </c>
      <c r="B196" s="4" t="s">
        <v>180</v>
      </c>
      <c r="D196" s="1">
        <v>46227</v>
      </c>
      <c r="E196">
        <v>3230</v>
      </c>
      <c r="F196">
        <v>3404</v>
      </c>
      <c r="G196">
        <v>3145</v>
      </c>
    </row>
    <row r="197" spans="1:7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</row>
    <row r="198" spans="1:7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</row>
    <row r="199" spans="1:7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</row>
    <row r="200" spans="1:7" x14ac:dyDescent="0.35">
      <c r="A200">
        <v>199</v>
      </c>
      <c r="B200" t="s">
        <v>112</v>
      </c>
      <c r="D200" s="1">
        <v>46227</v>
      </c>
    </row>
    <row r="201" spans="1:7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</row>
    <row r="202" spans="1:7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</row>
    <row r="203" spans="1:7" x14ac:dyDescent="0.35">
      <c r="A203">
        <v>202</v>
      </c>
      <c r="B203" t="s">
        <v>183</v>
      </c>
      <c r="D203" s="1">
        <v>46230</v>
      </c>
      <c r="E203">
        <v>81</v>
      </c>
    </row>
    <row r="204" spans="1:7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</row>
    <row r="205" spans="1:7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</row>
    <row r="206" spans="1:7" x14ac:dyDescent="0.35">
      <c r="A206">
        <v>205</v>
      </c>
      <c r="B206" t="s">
        <v>116</v>
      </c>
      <c r="D206" s="1">
        <v>46231</v>
      </c>
    </row>
    <row r="207" spans="1:7" x14ac:dyDescent="0.35">
      <c r="A207">
        <v>206</v>
      </c>
      <c r="B207" s="4" t="s">
        <v>184</v>
      </c>
      <c r="C207" t="s">
        <v>123</v>
      </c>
      <c r="D207" s="1">
        <v>46231</v>
      </c>
      <c r="E207">
        <v>572</v>
      </c>
      <c r="F207">
        <v>615</v>
      </c>
      <c r="G207">
        <v>555</v>
      </c>
    </row>
    <row r="208" spans="1:7" x14ac:dyDescent="0.35">
      <c r="A208">
        <v>207</v>
      </c>
      <c r="B208" t="s">
        <v>180</v>
      </c>
      <c r="C208" t="s">
        <v>132</v>
      </c>
      <c r="D208" s="1">
        <v>46231</v>
      </c>
    </row>
    <row r="209" spans="1:7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</row>
    <row r="210" spans="1:7" x14ac:dyDescent="0.35">
      <c r="A210">
        <v>209</v>
      </c>
      <c r="B210" t="s">
        <v>105</v>
      </c>
      <c r="D210" s="1">
        <v>46231</v>
      </c>
    </row>
    <row r="211" spans="1:7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</row>
    <row r="212" spans="1:7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</row>
    <row r="213" spans="1:7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</row>
    <row r="214" spans="1:7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</row>
    <row r="215" spans="1:7" x14ac:dyDescent="0.35">
      <c r="A215">
        <v>214</v>
      </c>
      <c r="B215" s="4" t="s">
        <v>191</v>
      </c>
      <c r="C215" t="s">
        <v>123</v>
      </c>
      <c r="D215" s="1">
        <v>46232</v>
      </c>
      <c r="E215">
        <v>3994</v>
      </c>
      <c r="F215">
        <v>3850</v>
      </c>
      <c r="G215">
        <v>4250</v>
      </c>
    </row>
    <row r="216" spans="1:7" x14ac:dyDescent="0.35">
      <c r="A216">
        <v>215</v>
      </c>
      <c r="B216" t="s">
        <v>192</v>
      </c>
      <c r="C216" t="s">
        <v>132</v>
      </c>
      <c r="D216" s="1">
        <v>46232</v>
      </c>
      <c r="E216">
        <v>7425</v>
      </c>
      <c r="G216">
        <v>7300</v>
      </c>
    </row>
    <row r="217" spans="1:7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</row>
    <row r="218" spans="1:7" x14ac:dyDescent="0.35">
      <c r="A218">
        <v>217</v>
      </c>
      <c r="B218" t="s">
        <v>193</v>
      </c>
      <c r="C218" t="s">
        <v>194</v>
      </c>
      <c r="D218" s="1">
        <v>46232</v>
      </c>
      <c r="E218">
        <v>3833</v>
      </c>
      <c r="F218">
        <v>4550</v>
      </c>
    </row>
    <row r="219" spans="1:7" x14ac:dyDescent="0.35">
      <c r="A219">
        <v>218</v>
      </c>
      <c r="B219" t="s">
        <v>195</v>
      </c>
      <c r="C219" t="s">
        <v>194</v>
      </c>
      <c r="D219" s="1">
        <v>46232</v>
      </c>
      <c r="E219">
        <v>1753</v>
      </c>
      <c r="F219">
        <v>2140</v>
      </c>
    </row>
    <row r="220" spans="1:7" x14ac:dyDescent="0.35">
      <c r="A220">
        <v>219</v>
      </c>
      <c r="B220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</row>
    <row r="221" spans="1:7" x14ac:dyDescent="0.35">
      <c r="A221">
        <v>220</v>
      </c>
      <c r="B221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</row>
    <row r="222" spans="1:7" x14ac:dyDescent="0.35">
      <c r="A222">
        <v>221</v>
      </c>
      <c r="B222" t="s">
        <v>37</v>
      </c>
      <c r="C222" t="s">
        <v>194</v>
      </c>
      <c r="D222" s="1">
        <v>46233</v>
      </c>
      <c r="E222">
        <v>1343</v>
      </c>
      <c r="F222">
        <v>1630</v>
      </c>
    </row>
    <row r="223" spans="1:7" x14ac:dyDescent="0.35">
      <c r="A223">
        <v>222</v>
      </c>
      <c r="B223" t="s">
        <v>21</v>
      </c>
      <c r="C223" t="s">
        <v>194</v>
      </c>
      <c r="D223" s="1">
        <v>46233</v>
      </c>
      <c r="E223">
        <v>1523</v>
      </c>
      <c r="F223">
        <v>1765</v>
      </c>
    </row>
    <row r="224" spans="1:7" x14ac:dyDescent="0.35">
      <c r="A224">
        <v>223</v>
      </c>
      <c r="B224" t="s">
        <v>62</v>
      </c>
      <c r="C224" t="s">
        <v>197</v>
      </c>
      <c r="D224" s="1">
        <v>46233</v>
      </c>
    </row>
    <row r="225" spans="1:7" x14ac:dyDescent="0.35">
      <c r="A225">
        <v>224</v>
      </c>
      <c r="B225" t="s">
        <v>196</v>
      </c>
      <c r="C225" t="s">
        <v>197</v>
      </c>
      <c r="D225" s="1">
        <v>46233</v>
      </c>
    </row>
    <row r="226" spans="1:7" x14ac:dyDescent="0.35">
      <c r="A226">
        <v>225</v>
      </c>
      <c r="B226" t="s">
        <v>193</v>
      </c>
      <c r="C226" t="s">
        <v>197</v>
      </c>
      <c r="D226" s="1">
        <v>46233</v>
      </c>
    </row>
    <row r="227" spans="1:7" x14ac:dyDescent="0.35">
      <c r="A227">
        <v>226</v>
      </c>
      <c r="B227" t="s">
        <v>98</v>
      </c>
      <c r="D227" s="1">
        <v>46233</v>
      </c>
      <c r="E227">
        <v>1277</v>
      </c>
    </row>
    <row r="228" spans="1:7" x14ac:dyDescent="0.35">
      <c r="A228">
        <v>227</v>
      </c>
      <c r="B228" t="s">
        <v>138</v>
      </c>
      <c r="D228" s="1">
        <v>46233</v>
      </c>
    </row>
    <row r="229" spans="1:7" x14ac:dyDescent="0.35">
      <c r="A229">
        <v>228</v>
      </c>
      <c r="B229" s="4" t="s">
        <v>70</v>
      </c>
      <c r="C229" t="s">
        <v>123</v>
      </c>
      <c r="D229" s="1">
        <v>46233</v>
      </c>
      <c r="E229">
        <v>1630</v>
      </c>
      <c r="F229">
        <v>1750</v>
      </c>
      <c r="G229">
        <v>1570</v>
      </c>
    </row>
    <row r="230" spans="1:7" x14ac:dyDescent="0.35">
      <c r="A230">
        <v>229</v>
      </c>
      <c r="B230" s="8" t="s">
        <v>198</v>
      </c>
      <c r="C230" t="s">
        <v>199</v>
      </c>
      <c r="D230" s="1">
        <v>46233</v>
      </c>
      <c r="E230">
        <v>1871</v>
      </c>
      <c r="F230">
        <v>2176</v>
      </c>
      <c r="G230">
        <v>1720</v>
      </c>
    </row>
    <row r="231" spans="1:7" x14ac:dyDescent="0.35">
      <c r="A231">
        <v>230</v>
      </c>
    </row>
    <row r="232" spans="1:7" x14ac:dyDescent="0.35">
      <c r="A232">
        <v>231</v>
      </c>
    </row>
    <row r="233" spans="1:7" x14ac:dyDescent="0.35">
      <c r="A233">
        <v>232</v>
      </c>
    </row>
    <row r="234" spans="1:7" x14ac:dyDescent="0.35">
      <c r="A234">
        <v>233</v>
      </c>
    </row>
    <row r="235" spans="1:7" x14ac:dyDescent="0.35">
      <c r="A235">
        <v>234</v>
      </c>
    </row>
    <row r="236" spans="1:7" x14ac:dyDescent="0.35">
      <c r="A236">
        <v>235</v>
      </c>
    </row>
    <row r="237" spans="1:7" x14ac:dyDescent="0.35">
      <c r="A237">
        <v>236</v>
      </c>
    </row>
    <row r="238" spans="1:7" x14ac:dyDescent="0.35">
      <c r="A238">
        <v>237</v>
      </c>
    </row>
    <row r="239" spans="1:7" x14ac:dyDescent="0.35">
      <c r="A239">
        <v>238</v>
      </c>
    </row>
    <row r="240" spans="1:7" x14ac:dyDescent="0.35">
      <c r="A240">
        <v>239</v>
      </c>
    </row>
    <row r="241" spans="1:1" x14ac:dyDescent="0.35">
      <c r="A241">
        <v>240</v>
      </c>
    </row>
    <row r="242" spans="1:1" x14ac:dyDescent="0.35">
      <c r="A242">
        <v>241</v>
      </c>
    </row>
    <row r="243" spans="1:1" x14ac:dyDescent="0.35">
      <c r="A243">
        <v>242</v>
      </c>
    </row>
    <row r="244" spans="1:1" x14ac:dyDescent="0.35">
      <c r="A244">
        <v>243</v>
      </c>
    </row>
    <row r="245" spans="1:1" x14ac:dyDescent="0.35">
      <c r="A245">
        <v>244</v>
      </c>
    </row>
    <row r="246" spans="1:1" x14ac:dyDescent="0.35">
      <c r="A246">
        <v>245</v>
      </c>
    </row>
    <row r="247" spans="1:1" x14ac:dyDescent="0.35">
      <c r="A247">
        <v>246</v>
      </c>
    </row>
  </sheetData>
  <autoFilter ref="A1:L247" xr:uid="{11702C7E-E6DA-4340-BEE9-A978C9B55E59}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Detail1</vt:lpstr>
      <vt:lpstr>Detail2</vt:lpstr>
      <vt:lpstr>Detail3</vt:lpstr>
      <vt:lpstr>Detail4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2026-07-30T14:46:53Z</dcterms:modified>
</cp:coreProperties>
</file>